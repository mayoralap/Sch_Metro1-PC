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5.xml" ContentType="application/vnd.openxmlformats-officedocument.drawing+xml"/>
  <Override PartName="/xl/worksheets/sheet1.xml" ContentType="application/vnd.openxmlformats-officedocument.spreadsheetml.worksheet+xml"/>
  <Override PartName="/xl/theme/theme1.xml" ContentType="application/vnd.openxmlformats-officedocument.theme+xml"/>
  <Override PartName="/xl/drawings/drawing3.xml" ContentType="application/vnd.openxmlformats-officedocument.drawing+xml"/>
  <Override PartName="/xl/worksheets/sheet11.xml" ContentType="application/vnd.openxmlformats-officedocument.spreadsheetml.worksheet+xml"/>
  <Override PartName="/xl/sharedStrings.xml" ContentType="application/vnd.openxmlformats-officedocument.spreadsheetml.sharedStrings+xml"/>
  <Override PartName="/xl/styles.xml" ContentType="application/vnd.openxmlformats-officedocument.spreadsheetml.styles+xml"/>
  <Override PartName="/xl/drawings/drawing2.xml" ContentType="application/vnd.openxmlformats-officedocument.drawing+xml"/>
  <Override PartName="/xl/drawings/drawing1.xml" ContentType="application/vnd.openxmlformats-officedocument.drawing+xml"/>
  <Override PartName="/xl/worksheets/sheet10.xml" ContentType="application/vnd.openxmlformats-officedocument.spreadsheetml.worksheet+xml"/>
  <Override PartName="/xl/worksheets/sheet9.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3.xml" ContentType="application/vnd.openxmlformats-officedocument.spreadsheetml.externalLink+xml"/>
  <Override PartName="/xl/externalLinks/externalLink2.xml" ContentType="application/vnd.openxmlformats-officedocument.spreadsheetml.externalLink+xml"/>
  <Override PartName="/xl/tables/table3.xml" ContentType="application/vnd.openxmlformats-officedocument.spreadsheetml.table+xml"/>
  <Override PartName="/xl/tables/table1.xml" ContentType="application/vnd.openxmlformats-officedocument.spreadsheetml.table+xml"/>
  <Override PartName="/xl/calcChain.xml" ContentType="application/vnd.openxmlformats-officedocument.spreadsheetml.calcChain+xml"/>
  <Override PartName="/xl/tables/table2.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activeX/activeX1.xml" ContentType="application/vnd.ms-office.activeX+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 Id="rId4" Type="http://schemas.microsoft.com/office/2006/relationships/ui/userCustomization" Target="userCustomization/customUI.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codeName="{00000000-0000-0000-0000-000000000000}"/>
  <workbookPr codeName="ThisWorkbook"/>
  <mc:AlternateContent xmlns:mc="http://schemas.openxmlformats.org/markup-compatibility/2006">
    <mc:Choice Requires="x15">
      <x15ac:absPath xmlns:x15ac="http://schemas.microsoft.com/office/spreadsheetml/2010/11/ac" url="C:\Users\Mayoral\Documents\Sch_Metro1\"/>
    </mc:Choice>
  </mc:AlternateContent>
  <xr:revisionPtr revIDLastSave="11" documentId="10_ncr:8100000_{97630225-4473-4062-8F3E-35ACC4CF291E}" xr6:coauthVersionLast="34" xr6:coauthVersionMax="34" xr10:uidLastSave="{D667C000-0357-2D45-B23E-75BBA3BD539A}"/>
  <bookViews>
    <workbookView xWindow="8985" yWindow="1020" windowWidth="10215" windowHeight="8235" firstSheet="7" activeTab="10" xr2:uid="{00000000-000D-0000-FFFF-FFFF00000000}"/>
  </bookViews>
  <sheets>
    <sheet name="Employeed" sheetId="10" r:id="rId1"/>
    <sheet name="Schedule" sheetId="6" state="hidden" r:id="rId2"/>
    <sheet name="Time_Sheet" sheetId="16" r:id="rId3"/>
    <sheet name="Master" sheetId="26" r:id="rId4"/>
    <sheet name="Sch_May-20" sheetId="15" r:id="rId5"/>
    <sheet name="Sch_May-27" sheetId="17" r:id="rId6"/>
    <sheet name="Sch_Jun 3-9,2018" sheetId="19" r:id="rId7"/>
    <sheet name="Sch_Jun 10-16,2018" sheetId="20" r:id="rId8"/>
    <sheet name="Sch_Jun 17- 23, 2018" sheetId="22" r:id="rId9"/>
    <sheet name="Sch_Jun 24- 30, 2018 " sheetId="23" r:id="rId10"/>
    <sheet name="Sch_July 1-7, 2018" sheetId="27" r:id="rId11"/>
  </sheets>
  <externalReferences>
    <externalReference r:id="rId12"/>
    <externalReference r:id="rId13"/>
    <externalReference r:id="rId14"/>
  </externalReferences>
  <definedNames>
    <definedName name="_xlnm._FilterDatabase" localSheetId="0" hidden="1">Employeed!$A$4:$W$20</definedName>
    <definedName name="_xlnm.Print_Area" localSheetId="0">Employeed!$B$1:$W$20</definedName>
    <definedName name="_xlnm.Print_Area" localSheetId="3">Master!$A$1:$M$124</definedName>
    <definedName name="_xlnm.Print_Area" localSheetId="10">'Sch_July 1-7, 2018'!$A$1:$M$142</definedName>
    <definedName name="_xlnm.Print_Area" localSheetId="9">'Sch_Jun 24- 30, 2018 '!$A$1:$M$41</definedName>
    <definedName name="_xlnm.Print_Area" localSheetId="1">Schedule!$B$1:$Q$28</definedName>
    <definedName name="Details" localSheetId="3">Tabla4[Details]</definedName>
    <definedName name="Details" localSheetId="10">Tabla4[Details]</definedName>
    <definedName name="Details">Tabla4[Details]</definedName>
    <definedName name="Edit_Datos" localSheetId="3">Master!$F$9:$L$26,Master!#REF!</definedName>
    <definedName name="Edit_Datos" localSheetId="10">'Sch_July 1-7, 2018'!$F$9:$L$26,'Sch_July 1-7, 2018'!#REF!</definedName>
    <definedName name="Edit_Datos" localSheetId="7">'Sch_Jun 10-16,2018'!$D$9:$J$29,'Sch_Jun 10-16,2018'!#REF!</definedName>
    <definedName name="Edit_Datos" localSheetId="8">'Sch_Jun 17- 23, 2018'!$D$9:$J$29,'Sch_Jun 17- 23, 2018'!#REF!</definedName>
    <definedName name="Edit_Datos" localSheetId="9">'Sch_Jun 24- 30, 2018 '!$F$9:$L$29,'Sch_Jun 24- 30, 2018 '!#REF!</definedName>
    <definedName name="Edit_Datos" localSheetId="6">'Sch_Jun 3-9,2018'!$D$9:$Q$27,'Sch_Jun 3-9,2018'!$D$8</definedName>
    <definedName name="Edit_Datos" localSheetId="4">'Sch_May-20'!$D$9:$Q$29,'Sch_May-20'!$D$8</definedName>
    <definedName name="Edit_Datos" localSheetId="5">'Sch_May-27'!$D$9:$Q$27,'Sch_May-27'!$D$8</definedName>
    <definedName name="Edit_Datos">#REF!,#REF!</definedName>
    <definedName name="Employeed">Employeed!$B$5:$B$20</definedName>
    <definedName name="Fr_Hrs" localSheetId="3">Master!#REF!</definedName>
    <definedName name="Fr_Hrs" localSheetId="10">'Sch_July 1-7, 2018'!#REF!</definedName>
    <definedName name="Fr_Hrs">#REF!</definedName>
    <definedName name="Fri" localSheetId="3">Master!$K$9:$K$26</definedName>
    <definedName name="Fri" localSheetId="10">'Sch_July 1-7, 2018'!$K$9:$K$26</definedName>
    <definedName name="Fri">'Sch_Jun 24- 30, 2018 '!$K$9:$K$29</definedName>
    <definedName name="Horarios">[1]Employeed!$B$32,[1]Employeed!$B$34,[1]Employeed!$B$38</definedName>
    <definedName name="Hr" localSheetId="3">Master!$E$9:$E$24</definedName>
    <definedName name="Hr" localSheetId="10">'Sch_July 1-7, 2018'!$E$9:$E$24</definedName>
    <definedName name="Hr">#REF!</definedName>
    <definedName name="Hrs_Emp" localSheetId="3">Master!$B$31,Master!$B$38,Master!$B$45,Master!$B$52,Master!$B$59,Master!$B$66,Master!$B$73,Master!$B$80,Master!$B$87,Master!$B$94,Master!$B$101,Master!$B$108,Master!$B$115,Master!$B$122,Master!$B$129,Master!$B$136</definedName>
    <definedName name="Hrs_Emp" localSheetId="10">'Sch_July 1-7, 2018'!$B$34,'Sch_July 1-7, 2018'!$B$41,'Sch_July 1-7, 2018'!$B$48,'Sch_July 1-7, 2018'!$B$55,'Sch_July 1-7, 2018'!$B$62,'Sch_July 1-7, 2018'!$B$69,'Sch_July 1-7, 2018'!$B$76,'Sch_July 1-7, 2018'!$B$83,'Sch_July 1-7, 2018'!$B$90,'Sch_July 1-7, 2018'!$B$97,'Sch_July 1-7, 2018'!$B$104,'Sch_July 1-7, 2018'!$B$111,'Sch_July 1-7, 2018'!$B$118,'Sch_July 1-7, 2018'!$B$125,'Sch_July 1-7, 2018'!$B$132,'Sch_July 1-7, 2018'!$B$139</definedName>
    <definedName name="Hrs_Emp">#REF!,#REF!,#REF!,#REF!,#REF!,#REF!,#REF!,#REF!,#REF!,#REF!,#REF!,#REF!,#REF!,#REF!,#REF!,#REF!</definedName>
    <definedName name="Hrs_Weed" localSheetId="3">Master!$E$9:$L$24</definedName>
    <definedName name="Hrs_Weed" localSheetId="10">'Sch_July 1-7, 2018'!$E$9:$L$24</definedName>
    <definedName name="Hrs_Weed">#REF!</definedName>
    <definedName name="List_Eva" localSheetId="3">Tabla25[Evaluation]</definedName>
    <definedName name="List_Eva" localSheetId="10">Tabla25[Evaluation]</definedName>
    <definedName name="List_Eva">Tabla25[Evaluation]</definedName>
    <definedName name="List_Guard">Employeed!$B$5:$B$21</definedName>
    <definedName name="List_Hrs">Employeed!$F$32:$F$53</definedName>
    <definedName name="Md_hrs" localSheetId="3">Master!#REF!</definedName>
    <definedName name="Md_hrs" localSheetId="10">'Sch_July 1-7, 2018'!#REF!</definedName>
    <definedName name="Md_hrs">#REF!</definedName>
    <definedName name="Mon" localSheetId="3">Master!$G$9:$G$26</definedName>
    <definedName name="Mon" localSheetId="10">'Sch_July 1-7, 2018'!$G$9:$G$26</definedName>
    <definedName name="Mon">'Sch_Jun 24- 30, 2018 '!$G$9:$G$29</definedName>
    <definedName name="Mt_Horas" localSheetId="3">Master!$D$9:$L$26</definedName>
    <definedName name="Mt_Horas" localSheetId="10">'Sch_July 1-7, 2018'!$D$9:$L$26</definedName>
    <definedName name="Mt_Horas">'Sch_Jun 24- 30, 2018 '!$D$9:$L$29</definedName>
    <definedName name="NombreRepetido">MATCH('[2]Morning Crew'!A1,'[2]Morning Crew'!$C1:XFD1,0)</definedName>
    <definedName name="Sat" localSheetId="3">Master!$L$9:$L$26</definedName>
    <definedName name="Sat" localSheetId="10">'Sch_July 1-7, 2018'!$L$9:$L$26</definedName>
    <definedName name="Sat">'Sch_Jun 24- 30, 2018 '!$L$9:$L$29</definedName>
    <definedName name="Sch_Emp_Hrs" localSheetId="3">Master!$B$30,Master!$B$37,Master!$B$44,Master!#REF!,Master!$B$52,Master!$B$58,Master!$B$65,Master!$B$72,Master!$B$79,Master!$B$86,Master!$B$93,Master!$B$100,Master!$B$107,Master!$B$114,Master!$B$121,Master!$B$128</definedName>
    <definedName name="Sch_Emp_Hrs" localSheetId="10">'Sch_July 1-7, 2018'!$B$33,'Sch_July 1-7, 2018'!$B$40,'Sch_July 1-7, 2018'!$B$47,'Sch_July 1-7, 2018'!#REF!,'Sch_July 1-7, 2018'!$B$55,'Sch_July 1-7, 2018'!$B$61,'Sch_July 1-7, 2018'!$B$68,'Sch_July 1-7, 2018'!$B$75,'Sch_July 1-7, 2018'!$B$82,'Sch_July 1-7, 2018'!$B$89,'Sch_July 1-7, 2018'!$B$96,'Sch_July 1-7, 2018'!$B$103,'Sch_July 1-7, 2018'!$B$110,'Sch_July 1-7, 2018'!$B$117,'Sch_July 1-7, 2018'!$B$124,'Sch_July 1-7, 2018'!$B$131</definedName>
    <definedName name="Sch_Emp_Hrs">#REF!,#REF!,#REF!,#REF!,#REF!,#REF!,#REF!,#REF!,#REF!,#REF!,#REF!,#REF!,#REF!,#REF!,#REF!,#REF!</definedName>
    <definedName name="Sn_Hrs" localSheetId="3">Master!#REF!</definedName>
    <definedName name="Sn_Hrs" localSheetId="10">'Sch_July 1-7, 2018'!#REF!</definedName>
    <definedName name="Sn_Hrs">#REF!</definedName>
    <definedName name="St_Hrs" localSheetId="3">Master!#REF!</definedName>
    <definedName name="St_Hrs" localSheetId="10">'Sch_July 1-7, 2018'!#REF!</definedName>
    <definedName name="St_Hrs">#REF!</definedName>
    <definedName name="Stores" localSheetId="3">Tabla5[Stores]</definedName>
    <definedName name="Stores" localSheetId="10">Tabla5[Stores]</definedName>
    <definedName name="Stores">Tabla5[Stores]</definedName>
    <definedName name="Sun" localSheetId="3">Master!$F$9:$F$26</definedName>
    <definedName name="Sun" localSheetId="10">'Sch_July 1-7, 2018'!$F$9:$F$26</definedName>
    <definedName name="Sun">'Sch_Jun 24- 30, 2018 '!$F$9:$F$29</definedName>
    <definedName name="Th_Hrs" localSheetId="3">Master!#REF!</definedName>
    <definedName name="Th_Hrs" localSheetId="10">'Sch_July 1-7, 2018'!#REF!</definedName>
    <definedName name="Th_Hrs">#REF!</definedName>
    <definedName name="Thr" localSheetId="3">Master!$J$9:$J$26</definedName>
    <definedName name="Thr" localSheetId="10">'Sch_July 1-7, 2018'!$J$9:$J$26</definedName>
    <definedName name="Thr">'Sch_Jun 24- 30, 2018 '!$J$9:$J$29</definedName>
    <definedName name="Time_Eva" localSheetId="3">Tabla25[Evaluation]</definedName>
    <definedName name="Time_Eva" localSheetId="10">Tabla25[Evaluation]</definedName>
    <definedName name="Time_Eva">Tabla25[Evaluation]</definedName>
    <definedName name="Timer" localSheetId="3">Post_db5232[Timer]</definedName>
    <definedName name="Timer" localSheetId="10">Post_db5232[Timer]</definedName>
    <definedName name="Timer" localSheetId="7">Post_db5232[Timer]</definedName>
    <definedName name="Timer" localSheetId="8">Post_db5232[Timer]</definedName>
    <definedName name="Timer" localSheetId="9">Post_db5232[Timer]</definedName>
    <definedName name="Timer" localSheetId="6">Post_db5232[Timer]</definedName>
    <definedName name="Timer" localSheetId="4">Post_db5232[Timer]</definedName>
    <definedName name="Timer" localSheetId="5">Post_db5232[Timer]</definedName>
    <definedName name="Timer">Post_db5232[Timer]</definedName>
    <definedName name="_xlnm.Print_Titles" localSheetId="3">Master!$1:$8</definedName>
    <definedName name="_xlnm.Print_Titles" localSheetId="10">'Sch_July 1-7, 2018'!$1:$8</definedName>
    <definedName name="_xlnm.Print_Titles" localSheetId="2">Time_Sheet!$1:$11</definedName>
    <definedName name="Total_Hrs">'Sch_July 1-7, 2018'!$D$29</definedName>
    <definedName name="TotalDeIngresosMensuales">SUM([3]!Ingresos[Importe])</definedName>
    <definedName name="Tour" localSheetId="3">Master!$D$9:$D$24</definedName>
    <definedName name="Tour" localSheetId="10">'Sch_July 1-7, 2018'!$D$9:$D$24</definedName>
    <definedName name="Tour">#REF!</definedName>
    <definedName name="Tu_hrs" localSheetId="3">Master!#REF!</definedName>
    <definedName name="Tu_hrs" localSheetId="10">'Sch_July 1-7, 2018'!#REF!</definedName>
    <definedName name="Tu_hrs">#REF!</definedName>
    <definedName name="Tue" localSheetId="3">Master!$H$9:$H$26</definedName>
    <definedName name="Tue" localSheetId="10">'Sch_July 1-7, 2018'!$H$9:$H$26</definedName>
    <definedName name="Tue">'Sch_Jun 24- 30, 2018 '!$H$9:$H$29</definedName>
    <definedName name="Virgen" localSheetId="0">Employeed!$H$21:$W$21</definedName>
    <definedName name="Wd_hrs" localSheetId="3">Master!#REF!</definedName>
    <definedName name="Wd_hrs" localSheetId="10">'Sch_July 1-7, 2018'!#REF!</definedName>
    <definedName name="Wd_hrs">#REF!</definedName>
    <definedName name="Wed" localSheetId="3">Master!$I$9:$I$26</definedName>
    <definedName name="Wed" localSheetId="10">'Sch_July 1-7, 2018'!$I$9:$I$26</definedName>
    <definedName name="Wed">'Sch_Jun 24- 30, 2018 '!$I$9:$I$29</definedName>
  </definedNames>
  <calcPr calcId="179016"/>
</workbook>
</file>

<file path=xl/calcChain.xml><?xml version="1.0" encoding="utf-8"?>
<calcChain xmlns="http://schemas.openxmlformats.org/spreadsheetml/2006/main">
  <c r="L138" i="27" l="1"/>
  <c r="K138" i="27"/>
  <c r="J138" i="27"/>
  <c r="I138" i="27"/>
  <c r="H138" i="27"/>
  <c r="G138" i="27"/>
  <c r="F138" i="27"/>
  <c r="L131" i="27"/>
  <c r="K131" i="27"/>
  <c r="J131" i="27"/>
  <c r="I131" i="27"/>
  <c r="H131" i="27"/>
  <c r="G131" i="27"/>
  <c r="F131" i="27"/>
  <c r="L124" i="27"/>
  <c r="K124" i="27"/>
  <c r="J124" i="27"/>
  <c r="I124" i="27"/>
  <c r="H124" i="27"/>
  <c r="G124" i="27"/>
  <c r="F124" i="27"/>
  <c r="L117" i="27"/>
  <c r="K117" i="27"/>
  <c r="J117" i="27"/>
  <c r="I117" i="27"/>
  <c r="H117" i="27"/>
  <c r="G117" i="27"/>
  <c r="F117" i="27"/>
  <c r="L110" i="27"/>
  <c r="K110" i="27"/>
  <c r="J110" i="27"/>
  <c r="I110" i="27"/>
  <c r="H110" i="27"/>
  <c r="G110" i="27"/>
  <c r="F110" i="27"/>
  <c r="L103" i="27"/>
  <c r="K103" i="27"/>
  <c r="J103" i="27"/>
  <c r="I103" i="27"/>
  <c r="H103" i="27"/>
  <c r="G103" i="27"/>
  <c r="F103" i="27"/>
  <c r="L96" i="27"/>
  <c r="K96" i="27"/>
  <c r="J96" i="27"/>
  <c r="I96" i="27"/>
  <c r="H96" i="27"/>
  <c r="G96" i="27"/>
  <c r="F96" i="27"/>
  <c r="L89" i="27"/>
  <c r="K89" i="27"/>
  <c r="J89" i="27"/>
  <c r="I89" i="27"/>
  <c r="H89" i="27"/>
  <c r="G89" i="27"/>
  <c r="F89" i="27"/>
  <c r="L82" i="27"/>
  <c r="K82" i="27"/>
  <c r="J82" i="27"/>
  <c r="I82" i="27"/>
  <c r="H82" i="27"/>
  <c r="G82" i="27"/>
  <c r="F82" i="27"/>
  <c r="L75" i="27"/>
  <c r="K75" i="27"/>
  <c r="J75" i="27"/>
  <c r="I75" i="27"/>
  <c r="H75" i="27"/>
  <c r="G75" i="27"/>
  <c r="F75" i="27"/>
  <c r="L68" i="27"/>
  <c r="K68" i="27"/>
  <c r="J68" i="27"/>
  <c r="I68" i="27"/>
  <c r="H68" i="27"/>
  <c r="G68" i="27"/>
  <c r="F68" i="27"/>
  <c r="L61" i="27"/>
  <c r="K61" i="27"/>
  <c r="J61" i="27"/>
  <c r="I61" i="27"/>
  <c r="H61" i="27"/>
  <c r="G61" i="27"/>
  <c r="F61" i="27"/>
  <c r="L54" i="27"/>
  <c r="K54" i="27"/>
  <c r="J54" i="27"/>
  <c r="I54" i="27"/>
  <c r="H54" i="27"/>
  <c r="G54" i="27"/>
  <c r="F54" i="27"/>
  <c r="L47" i="27"/>
  <c r="K47" i="27"/>
  <c r="J47" i="27"/>
  <c r="I47" i="27"/>
  <c r="H47" i="27"/>
  <c r="G47" i="27"/>
  <c r="F47" i="27"/>
  <c r="L40" i="27"/>
  <c r="K40" i="27"/>
  <c r="J40" i="27"/>
  <c r="I40" i="27"/>
  <c r="H40" i="27"/>
  <c r="G40" i="27"/>
  <c r="F40" i="27"/>
  <c r="L33" i="27"/>
  <c r="K33" i="27"/>
  <c r="J33" i="27"/>
  <c r="I33" i="27"/>
  <c r="H33" i="27"/>
  <c r="G33" i="27"/>
  <c r="F33" i="27"/>
  <c r="F32" i="23"/>
  <c r="L30" i="27" a="1"/>
  <c r="L30" i="27"/>
  <c r="K30" i="27" a="1"/>
  <c r="K30" i="27"/>
  <c r="J30" i="27" a="1"/>
  <c r="J30" i="27"/>
  <c r="I30" i="27" a="1"/>
  <c r="I30" i="27"/>
  <c r="H30" i="27" a="1"/>
  <c r="H30" i="27"/>
  <c r="G30" i="27" a="1"/>
  <c r="G30" i="27"/>
  <c r="F30" i="27" a="1"/>
  <c r="F30" i="27"/>
  <c r="D30" i="27"/>
  <c r="C142" i="27"/>
  <c r="L141" i="27"/>
  <c r="K141" i="27"/>
  <c r="J141" i="27"/>
  <c r="I141" i="27"/>
  <c r="H141" i="27"/>
  <c r="G141" i="27"/>
  <c r="F141" i="27"/>
  <c r="XFD141" i="27"/>
  <c r="D141" i="27"/>
  <c r="D139" i="27"/>
  <c r="L137" i="27"/>
  <c r="K137" i="27"/>
  <c r="J137" i="27"/>
  <c r="I137" i="27"/>
  <c r="H137" i="27"/>
  <c r="G137" i="27"/>
  <c r="F137" i="27"/>
  <c r="B141" i="27"/>
  <c r="C137" i="27"/>
  <c r="C135" i="27"/>
  <c r="L134" i="27"/>
  <c r="K134" i="27"/>
  <c r="J134" i="27"/>
  <c r="I134" i="27"/>
  <c r="H134" i="27"/>
  <c r="G134" i="27"/>
  <c r="F134" i="27"/>
  <c r="XFD134" i="27"/>
  <c r="D134" i="27"/>
  <c r="D132" i="27"/>
  <c r="L130" i="27"/>
  <c r="K130" i="27"/>
  <c r="J130" i="27"/>
  <c r="I130" i="27"/>
  <c r="H130" i="27"/>
  <c r="G130" i="27"/>
  <c r="F130" i="27"/>
  <c r="B134" i="27"/>
  <c r="C130" i="27"/>
  <c r="C128" i="27"/>
  <c r="L127" i="27"/>
  <c r="K127" i="27"/>
  <c r="J127" i="27"/>
  <c r="I127" i="27"/>
  <c r="H127" i="27"/>
  <c r="G127" i="27"/>
  <c r="F127" i="27"/>
  <c r="XFD127" i="27"/>
  <c r="D127" i="27"/>
  <c r="D125" i="27"/>
  <c r="L123" i="27"/>
  <c r="K123" i="27"/>
  <c r="J123" i="27"/>
  <c r="I123" i="27"/>
  <c r="H123" i="27"/>
  <c r="G123" i="27"/>
  <c r="F123" i="27"/>
  <c r="B127" i="27"/>
  <c r="C123" i="27"/>
  <c r="C121" i="27"/>
  <c r="L120" i="27"/>
  <c r="K120" i="27"/>
  <c r="J120" i="27"/>
  <c r="I120" i="27"/>
  <c r="H120" i="27"/>
  <c r="G120" i="27"/>
  <c r="F120" i="27"/>
  <c r="XFD120" i="27"/>
  <c r="D120" i="27"/>
  <c r="D118" i="27"/>
  <c r="L116" i="27"/>
  <c r="K116" i="27"/>
  <c r="J116" i="27"/>
  <c r="I116" i="27"/>
  <c r="H116" i="27"/>
  <c r="G116" i="27"/>
  <c r="F116" i="27"/>
  <c r="B120" i="27"/>
  <c r="C116" i="27"/>
  <c r="C114" i="27"/>
  <c r="L113" i="27"/>
  <c r="K113" i="27"/>
  <c r="J113" i="27"/>
  <c r="I113" i="27"/>
  <c r="H113" i="27"/>
  <c r="G113" i="27"/>
  <c r="F113" i="27"/>
  <c r="XFD113" i="27"/>
  <c r="D113" i="27"/>
  <c r="D111" i="27"/>
  <c r="L109" i="27"/>
  <c r="K109" i="27"/>
  <c r="J109" i="27"/>
  <c r="I109" i="27"/>
  <c r="H109" i="27"/>
  <c r="G109" i="27"/>
  <c r="F109" i="27"/>
  <c r="B113" i="27"/>
  <c r="C109" i="27"/>
  <c r="C107" i="27"/>
  <c r="L106" i="27"/>
  <c r="K106" i="27"/>
  <c r="J106" i="27"/>
  <c r="I106" i="27"/>
  <c r="H106" i="27"/>
  <c r="G106" i="27"/>
  <c r="F106" i="27"/>
  <c r="XFD106" i="27"/>
  <c r="D106" i="27"/>
  <c r="D104" i="27"/>
  <c r="L102" i="27"/>
  <c r="K102" i="27"/>
  <c r="J102" i="27"/>
  <c r="I102" i="27"/>
  <c r="H102" i="27"/>
  <c r="G102" i="27"/>
  <c r="F102" i="27"/>
  <c r="B106" i="27"/>
  <c r="C102" i="27"/>
  <c r="C100" i="27"/>
  <c r="L99" i="27"/>
  <c r="K99" i="27"/>
  <c r="J99" i="27"/>
  <c r="I99" i="27"/>
  <c r="H99" i="27"/>
  <c r="G99" i="27"/>
  <c r="F99" i="27"/>
  <c r="XFD99" i="27"/>
  <c r="D99" i="27"/>
  <c r="D97" i="27"/>
  <c r="L95" i="27"/>
  <c r="K95" i="27"/>
  <c r="J95" i="27"/>
  <c r="I95" i="27"/>
  <c r="H95" i="27"/>
  <c r="G95" i="27"/>
  <c r="F95" i="27"/>
  <c r="B99" i="27"/>
  <c r="C95" i="27"/>
  <c r="C93" i="27"/>
  <c r="L92" i="27"/>
  <c r="K92" i="27"/>
  <c r="J92" i="27"/>
  <c r="I92" i="27"/>
  <c r="H92" i="27"/>
  <c r="G92" i="27"/>
  <c r="F92" i="27"/>
  <c r="XFD92" i="27"/>
  <c r="D92" i="27"/>
  <c r="D90" i="27"/>
  <c r="L88" i="27"/>
  <c r="K88" i="27"/>
  <c r="J88" i="27"/>
  <c r="I88" i="27"/>
  <c r="H88" i="27"/>
  <c r="G88" i="27"/>
  <c r="F88" i="27"/>
  <c r="B92" i="27"/>
  <c r="C88" i="27"/>
  <c r="C86" i="27"/>
  <c r="L85" i="27"/>
  <c r="K85" i="27"/>
  <c r="J85" i="27"/>
  <c r="I85" i="27"/>
  <c r="H85" i="27"/>
  <c r="G85" i="27"/>
  <c r="F85" i="27"/>
  <c r="XFD85" i="27"/>
  <c r="D85" i="27"/>
  <c r="D83" i="27"/>
  <c r="L81" i="27"/>
  <c r="K81" i="27"/>
  <c r="J81" i="27"/>
  <c r="I81" i="27"/>
  <c r="H81" i="27"/>
  <c r="G81" i="27"/>
  <c r="F81" i="27"/>
  <c r="B85" i="27"/>
  <c r="C81" i="27"/>
  <c r="C79" i="27"/>
  <c r="L78" i="27"/>
  <c r="K78" i="27"/>
  <c r="J78" i="27"/>
  <c r="I78" i="27"/>
  <c r="H78" i="27"/>
  <c r="G78" i="27"/>
  <c r="F78" i="27"/>
  <c r="XFD78" i="27"/>
  <c r="D78" i="27"/>
  <c r="D76" i="27"/>
  <c r="L74" i="27"/>
  <c r="K74" i="27"/>
  <c r="J74" i="27"/>
  <c r="I74" i="27"/>
  <c r="H74" i="27"/>
  <c r="G74" i="27"/>
  <c r="F74" i="27"/>
  <c r="B78" i="27"/>
  <c r="C74" i="27"/>
  <c r="C72" i="27"/>
  <c r="L71" i="27"/>
  <c r="K71" i="27"/>
  <c r="J71" i="27"/>
  <c r="I71" i="27"/>
  <c r="H71" i="27"/>
  <c r="G71" i="27"/>
  <c r="F71" i="27"/>
  <c r="XFD71" i="27"/>
  <c r="D71" i="27"/>
  <c r="D69" i="27"/>
  <c r="L67" i="27"/>
  <c r="K67" i="27"/>
  <c r="J67" i="27"/>
  <c r="I67" i="27"/>
  <c r="H67" i="27"/>
  <c r="G67" i="27"/>
  <c r="F67" i="27"/>
  <c r="B71" i="27"/>
  <c r="C67" i="27"/>
  <c r="C65" i="27"/>
  <c r="L64" i="27"/>
  <c r="K64" i="27"/>
  <c r="J64" i="27"/>
  <c r="I64" i="27"/>
  <c r="H64" i="27"/>
  <c r="G64" i="27"/>
  <c r="F64" i="27"/>
  <c r="XFD64" i="27"/>
  <c r="D64" i="27"/>
  <c r="D62" i="27"/>
  <c r="L60" i="27"/>
  <c r="K60" i="27"/>
  <c r="J60" i="27"/>
  <c r="I60" i="27"/>
  <c r="H60" i="27"/>
  <c r="G60" i="27"/>
  <c r="F60" i="27"/>
  <c r="B64" i="27"/>
  <c r="C60" i="27"/>
  <c r="C58" i="27"/>
  <c r="L57" i="27"/>
  <c r="K57" i="27"/>
  <c r="J57" i="27"/>
  <c r="I57" i="27"/>
  <c r="H57" i="27"/>
  <c r="G57" i="27"/>
  <c r="F57" i="27"/>
  <c r="XFD57" i="27"/>
  <c r="D57" i="27"/>
  <c r="D55" i="27"/>
  <c r="L53" i="27"/>
  <c r="K53" i="27"/>
  <c r="J53" i="27"/>
  <c r="I53" i="27"/>
  <c r="H53" i="27"/>
  <c r="G53" i="27"/>
  <c r="F53" i="27"/>
  <c r="B57" i="27"/>
  <c r="C53" i="27"/>
  <c r="C51" i="27"/>
  <c r="L50" i="27"/>
  <c r="K50" i="27"/>
  <c r="J50" i="27"/>
  <c r="I50" i="27"/>
  <c r="H50" i="27"/>
  <c r="G50" i="27"/>
  <c r="F50" i="27"/>
  <c r="XFD50" i="27"/>
  <c r="D50" i="27"/>
  <c r="D48" i="27"/>
  <c r="L46" i="27"/>
  <c r="K46" i="27"/>
  <c r="J46" i="27"/>
  <c r="I46" i="27"/>
  <c r="H46" i="27"/>
  <c r="G46" i="27"/>
  <c r="F46" i="27"/>
  <c r="B50" i="27"/>
  <c r="C46" i="27"/>
  <c r="C44" i="27"/>
  <c r="L43" i="27"/>
  <c r="K43" i="27"/>
  <c r="J43" i="27"/>
  <c r="I43" i="27"/>
  <c r="H43" i="27"/>
  <c r="G43" i="27"/>
  <c r="F43" i="27"/>
  <c r="XFD43" i="27"/>
  <c r="D43" i="27"/>
  <c r="D41" i="27"/>
  <c r="L39" i="27"/>
  <c r="K39" i="27"/>
  <c r="J39" i="27"/>
  <c r="I39" i="27"/>
  <c r="H39" i="27"/>
  <c r="G39" i="27"/>
  <c r="F39" i="27"/>
  <c r="B43" i="27"/>
  <c r="C39" i="27"/>
  <c r="C37" i="27"/>
  <c r="L36" i="27"/>
  <c r="K36" i="27"/>
  <c r="J36" i="27"/>
  <c r="I36" i="27"/>
  <c r="H36" i="27"/>
  <c r="G36" i="27"/>
  <c r="F36" i="27"/>
  <c r="XFD36" i="27"/>
  <c r="D34" i="27"/>
  <c r="L32" i="27"/>
  <c r="K32" i="27"/>
  <c r="J32" i="27"/>
  <c r="I32" i="27"/>
  <c r="H32" i="27"/>
  <c r="G32" i="27"/>
  <c r="F32" i="27"/>
  <c r="C32" i="27"/>
  <c r="G8" i="27"/>
  <c r="H8" i="27"/>
  <c r="I8" i="27"/>
  <c r="J8" i="27"/>
  <c r="K8" i="27"/>
  <c r="L8" i="27"/>
  <c r="L2" i="27"/>
  <c r="I5" i="27"/>
  <c r="D5" i="27"/>
  <c r="D4" i="27"/>
  <c r="J2" i="27"/>
  <c r="D36" i="27"/>
  <c r="F29" i="27" a="1"/>
  <c r="F29" i="27"/>
  <c r="G29" i="27" a="1"/>
  <c r="G29" i="27"/>
  <c r="H29" i="27" a="1"/>
  <c r="H29" i="27"/>
  <c r="I29" i="27" a="1"/>
  <c r="I29" i="27"/>
  <c r="J29" i="27" a="1"/>
  <c r="J29" i="27"/>
  <c r="K29" i="27" a="1"/>
  <c r="K29" i="27"/>
  <c r="L29" i="27" a="1"/>
  <c r="L29" i="27"/>
  <c r="B36" i="27"/>
  <c r="C139" i="26"/>
  <c r="F138" i="26"/>
  <c r="G138" i="26"/>
  <c r="H138" i="26"/>
  <c r="I138" i="26"/>
  <c r="J138" i="26"/>
  <c r="K138" i="26"/>
  <c r="L138" i="26"/>
  <c r="XFD138" i="26"/>
  <c r="D138" i="26"/>
  <c r="F134" i="26"/>
  <c r="G134" i="26"/>
  <c r="H134" i="26"/>
  <c r="I134" i="26"/>
  <c r="J134" i="26"/>
  <c r="K134" i="26"/>
  <c r="L134" i="26"/>
  <c r="B138" i="26"/>
  <c r="D136" i="26"/>
  <c r="L135" i="26"/>
  <c r="K135" i="26"/>
  <c r="J135" i="26"/>
  <c r="I135" i="26"/>
  <c r="H135" i="26"/>
  <c r="G135" i="26"/>
  <c r="F135" i="26"/>
  <c r="C134" i="26"/>
  <c r="C132" i="26"/>
  <c r="F131" i="26"/>
  <c r="G131" i="26"/>
  <c r="H131" i="26"/>
  <c r="I131" i="26"/>
  <c r="J131" i="26"/>
  <c r="K131" i="26"/>
  <c r="L131" i="26"/>
  <c r="XFD131" i="26"/>
  <c r="D131" i="26"/>
  <c r="F127" i="26"/>
  <c r="G127" i="26"/>
  <c r="H127" i="26"/>
  <c r="I127" i="26"/>
  <c r="J127" i="26"/>
  <c r="K127" i="26"/>
  <c r="L127" i="26"/>
  <c r="B131" i="26"/>
  <c r="D129" i="26"/>
  <c r="L128" i="26"/>
  <c r="K128" i="26"/>
  <c r="J128" i="26"/>
  <c r="I128" i="26"/>
  <c r="H128" i="26"/>
  <c r="G128" i="26"/>
  <c r="F128" i="26"/>
  <c r="C127" i="26"/>
  <c r="C125" i="26"/>
  <c r="F124" i="26"/>
  <c r="G124" i="26"/>
  <c r="H124" i="26"/>
  <c r="I124" i="26"/>
  <c r="J124" i="26"/>
  <c r="K124" i="26"/>
  <c r="L124" i="26"/>
  <c r="XFD124" i="26"/>
  <c r="D124" i="26"/>
  <c r="F120" i="26"/>
  <c r="G120" i="26"/>
  <c r="H120" i="26"/>
  <c r="I120" i="26"/>
  <c r="J120" i="26"/>
  <c r="K120" i="26"/>
  <c r="L120" i="26"/>
  <c r="B124" i="26"/>
  <c r="D122" i="26"/>
  <c r="L121" i="26"/>
  <c r="K121" i="26"/>
  <c r="J121" i="26"/>
  <c r="I121" i="26"/>
  <c r="H121" i="26"/>
  <c r="G121" i="26"/>
  <c r="F121" i="26"/>
  <c r="C120" i="26"/>
  <c r="C118" i="26"/>
  <c r="F117" i="26"/>
  <c r="G117" i="26"/>
  <c r="H117" i="26"/>
  <c r="I117" i="26"/>
  <c r="J117" i="26"/>
  <c r="K117" i="26"/>
  <c r="L117" i="26"/>
  <c r="XFD117" i="26"/>
  <c r="D117" i="26"/>
  <c r="F113" i="26"/>
  <c r="G113" i="26"/>
  <c r="H113" i="26"/>
  <c r="I113" i="26"/>
  <c r="J113" i="26"/>
  <c r="K113" i="26"/>
  <c r="L113" i="26"/>
  <c r="B117" i="26"/>
  <c r="D115" i="26"/>
  <c r="L114" i="26"/>
  <c r="K114" i="26"/>
  <c r="J114" i="26"/>
  <c r="I114" i="26"/>
  <c r="H114" i="26"/>
  <c r="G114" i="26"/>
  <c r="F114" i="26"/>
  <c r="C113" i="26"/>
  <c r="C111" i="26"/>
  <c r="F110" i="26"/>
  <c r="G110" i="26"/>
  <c r="H110" i="26"/>
  <c r="I110" i="26"/>
  <c r="J110" i="26"/>
  <c r="K110" i="26"/>
  <c r="L110" i="26"/>
  <c r="XFD110" i="26"/>
  <c r="D110" i="26"/>
  <c r="F106" i="26"/>
  <c r="G106" i="26"/>
  <c r="H106" i="26"/>
  <c r="I106" i="26"/>
  <c r="J106" i="26"/>
  <c r="K106" i="26"/>
  <c r="L106" i="26"/>
  <c r="B110" i="26"/>
  <c r="D108" i="26"/>
  <c r="L107" i="26"/>
  <c r="K107" i="26"/>
  <c r="J107" i="26"/>
  <c r="I107" i="26"/>
  <c r="H107" i="26"/>
  <c r="G107" i="26"/>
  <c r="F107" i="26"/>
  <c r="C106" i="26"/>
  <c r="C104" i="26"/>
  <c r="F103" i="26"/>
  <c r="G103" i="26"/>
  <c r="H103" i="26"/>
  <c r="I103" i="26"/>
  <c r="J103" i="26"/>
  <c r="K103" i="26"/>
  <c r="L103" i="26"/>
  <c r="XFD103" i="26"/>
  <c r="D103" i="26"/>
  <c r="F99" i="26"/>
  <c r="G99" i="26"/>
  <c r="H99" i="26"/>
  <c r="I99" i="26"/>
  <c r="J99" i="26"/>
  <c r="K99" i="26"/>
  <c r="L99" i="26"/>
  <c r="B103" i="26"/>
  <c r="D101" i="26"/>
  <c r="L100" i="26"/>
  <c r="K100" i="26"/>
  <c r="J100" i="26"/>
  <c r="I100" i="26"/>
  <c r="H100" i="26"/>
  <c r="G100" i="26"/>
  <c r="F100" i="26"/>
  <c r="C99" i="26"/>
  <c r="C97" i="26"/>
  <c r="F96" i="26"/>
  <c r="G96" i="26"/>
  <c r="H96" i="26"/>
  <c r="I96" i="26"/>
  <c r="J96" i="26"/>
  <c r="K96" i="26"/>
  <c r="L96" i="26"/>
  <c r="XFD96" i="26"/>
  <c r="D96" i="26"/>
  <c r="F92" i="26"/>
  <c r="G92" i="26"/>
  <c r="H92" i="26"/>
  <c r="I92" i="26"/>
  <c r="J92" i="26"/>
  <c r="K92" i="26"/>
  <c r="L92" i="26"/>
  <c r="B96" i="26"/>
  <c r="D94" i="26"/>
  <c r="L93" i="26"/>
  <c r="K93" i="26"/>
  <c r="J93" i="26"/>
  <c r="I93" i="26"/>
  <c r="H93" i="26"/>
  <c r="G93" i="26"/>
  <c r="F93" i="26"/>
  <c r="C92" i="26"/>
  <c r="C90" i="26"/>
  <c r="F89" i="26"/>
  <c r="G89" i="26"/>
  <c r="H89" i="26"/>
  <c r="I89" i="26"/>
  <c r="J89" i="26"/>
  <c r="K89" i="26"/>
  <c r="L89" i="26"/>
  <c r="XFD89" i="26"/>
  <c r="D89" i="26"/>
  <c r="F85" i="26"/>
  <c r="G85" i="26"/>
  <c r="H85" i="26"/>
  <c r="I85" i="26"/>
  <c r="J85" i="26"/>
  <c r="K85" i="26"/>
  <c r="L85" i="26"/>
  <c r="B89" i="26"/>
  <c r="D87" i="26"/>
  <c r="L86" i="26"/>
  <c r="K86" i="26"/>
  <c r="J86" i="26"/>
  <c r="I86" i="26"/>
  <c r="H86" i="26"/>
  <c r="G86" i="26"/>
  <c r="F86" i="26"/>
  <c r="C85" i="26"/>
  <c r="C83" i="26"/>
  <c r="F82" i="26"/>
  <c r="G82" i="26"/>
  <c r="H82" i="26"/>
  <c r="I82" i="26"/>
  <c r="J82" i="26"/>
  <c r="K82" i="26"/>
  <c r="L82" i="26"/>
  <c r="XFD82" i="26"/>
  <c r="D82" i="26"/>
  <c r="F78" i="26"/>
  <c r="G78" i="26"/>
  <c r="H78" i="26"/>
  <c r="I78" i="26"/>
  <c r="J78" i="26"/>
  <c r="K78" i="26"/>
  <c r="L78" i="26"/>
  <c r="B82" i="26"/>
  <c r="D80" i="26"/>
  <c r="L79" i="26"/>
  <c r="K79" i="26"/>
  <c r="J79" i="26"/>
  <c r="I79" i="26"/>
  <c r="H79" i="26"/>
  <c r="G79" i="26"/>
  <c r="F79" i="26"/>
  <c r="C78" i="26"/>
  <c r="C76" i="26"/>
  <c r="F75" i="26"/>
  <c r="G75" i="26"/>
  <c r="H75" i="26"/>
  <c r="I75" i="26"/>
  <c r="J75" i="26"/>
  <c r="K75" i="26"/>
  <c r="L75" i="26"/>
  <c r="XFD75" i="26"/>
  <c r="D75" i="26"/>
  <c r="F71" i="26"/>
  <c r="G71" i="26"/>
  <c r="H71" i="26"/>
  <c r="I71" i="26"/>
  <c r="J71" i="26"/>
  <c r="K71" i="26"/>
  <c r="L71" i="26"/>
  <c r="B75" i="26"/>
  <c r="D73" i="26"/>
  <c r="L72" i="26"/>
  <c r="K72" i="26"/>
  <c r="J72" i="26"/>
  <c r="I72" i="26"/>
  <c r="H72" i="26"/>
  <c r="G72" i="26"/>
  <c r="F72" i="26"/>
  <c r="C71" i="26"/>
  <c r="C69" i="26"/>
  <c r="F68" i="26"/>
  <c r="G68" i="26"/>
  <c r="H68" i="26"/>
  <c r="I68" i="26"/>
  <c r="J68" i="26"/>
  <c r="K68" i="26"/>
  <c r="L68" i="26"/>
  <c r="XFD68" i="26"/>
  <c r="D68" i="26"/>
  <c r="F64" i="26"/>
  <c r="G64" i="26"/>
  <c r="H64" i="26"/>
  <c r="I64" i="26"/>
  <c r="J64" i="26"/>
  <c r="K64" i="26"/>
  <c r="L64" i="26"/>
  <c r="B68" i="26"/>
  <c r="D66" i="26"/>
  <c r="L65" i="26"/>
  <c r="K65" i="26"/>
  <c r="J65" i="26"/>
  <c r="I65" i="26"/>
  <c r="H65" i="26"/>
  <c r="G65" i="26"/>
  <c r="F65" i="26"/>
  <c r="C64" i="26"/>
  <c r="C62" i="26"/>
  <c r="F61" i="26"/>
  <c r="G61" i="26"/>
  <c r="H61" i="26"/>
  <c r="I61" i="26"/>
  <c r="J61" i="26"/>
  <c r="K61" i="26"/>
  <c r="L61" i="26"/>
  <c r="XFD61" i="26"/>
  <c r="D61" i="26"/>
  <c r="F57" i="26"/>
  <c r="G57" i="26"/>
  <c r="H57" i="26"/>
  <c r="I57" i="26"/>
  <c r="J57" i="26"/>
  <c r="K57" i="26"/>
  <c r="L57" i="26"/>
  <c r="B61" i="26"/>
  <c r="D59" i="26"/>
  <c r="L58" i="26"/>
  <c r="K58" i="26"/>
  <c r="J58" i="26"/>
  <c r="I58" i="26"/>
  <c r="H58" i="26"/>
  <c r="G58" i="26"/>
  <c r="F58" i="26"/>
  <c r="C57" i="26"/>
  <c r="C55" i="26"/>
  <c r="F54" i="26"/>
  <c r="G54" i="26"/>
  <c r="H54" i="26"/>
  <c r="I54" i="26"/>
  <c r="J54" i="26"/>
  <c r="K54" i="26"/>
  <c r="L54" i="26"/>
  <c r="XFD54" i="26"/>
  <c r="D54" i="26"/>
  <c r="F50" i="26"/>
  <c r="G50" i="26"/>
  <c r="H50" i="26"/>
  <c r="I50" i="26"/>
  <c r="J50" i="26"/>
  <c r="K50" i="26"/>
  <c r="L50" i="26"/>
  <c r="B54" i="26"/>
  <c r="D52" i="26"/>
  <c r="L51" i="26"/>
  <c r="K51" i="26"/>
  <c r="J51" i="26"/>
  <c r="I51" i="26"/>
  <c r="H51" i="26"/>
  <c r="G51" i="26"/>
  <c r="F51" i="26"/>
  <c r="C50" i="26"/>
  <c r="C48" i="26"/>
  <c r="F47" i="26"/>
  <c r="G47" i="26"/>
  <c r="H47" i="26"/>
  <c r="I47" i="26"/>
  <c r="J47" i="26"/>
  <c r="K47" i="26"/>
  <c r="L47" i="26"/>
  <c r="XFD47" i="26"/>
  <c r="D47" i="26"/>
  <c r="F43" i="26"/>
  <c r="G43" i="26"/>
  <c r="H43" i="26"/>
  <c r="I43" i="26"/>
  <c r="J43" i="26"/>
  <c r="K43" i="26"/>
  <c r="L43" i="26"/>
  <c r="B47" i="26"/>
  <c r="D45" i="26"/>
  <c r="L44" i="26"/>
  <c r="K44" i="26"/>
  <c r="J44" i="26"/>
  <c r="I44" i="26"/>
  <c r="H44" i="26"/>
  <c r="G44" i="26"/>
  <c r="F44" i="26"/>
  <c r="C43" i="26"/>
  <c r="C41" i="26"/>
  <c r="F40" i="26"/>
  <c r="G40" i="26"/>
  <c r="H40" i="26"/>
  <c r="I40" i="26"/>
  <c r="J40" i="26"/>
  <c r="K40" i="26"/>
  <c r="L40" i="26"/>
  <c r="XFD40" i="26"/>
  <c r="D40" i="26"/>
  <c r="F36" i="26"/>
  <c r="G36" i="26"/>
  <c r="H36" i="26"/>
  <c r="I36" i="26"/>
  <c r="J36" i="26"/>
  <c r="K36" i="26"/>
  <c r="L36" i="26"/>
  <c r="B40" i="26"/>
  <c r="D38" i="26"/>
  <c r="L37" i="26"/>
  <c r="K37" i="26"/>
  <c r="J37" i="26"/>
  <c r="I37" i="26"/>
  <c r="H37" i="26"/>
  <c r="G37" i="26"/>
  <c r="F37" i="26"/>
  <c r="C36" i="26"/>
  <c r="C34" i="26"/>
  <c r="F33" i="26"/>
  <c r="G33" i="26"/>
  <c r="H33" i="26"/>
  <c r="I33" i="26"/>
  <c r="J33" i="26"/>
  <c r="K33" i="26"/>
  <c r="L33" i="26"/>
  <c r="XFD33" i="26"/>
  <c r="D33" i="26"/>
  <c r="F29" i="26"/>
  <c r="G29" i="26"/>
  <c r="H29" i="26"/>
  <c r="I29" i="26"/>
  <c r="J29" i="26"/>
  <c r="K29" i="26"/>
  <c r="L29" i="26"/>
  <c r="B33" i="26"/>
  <c r="D31" i="26"/>
  <c r="L30" i="26"/>
  <c r="K30" i="26"/>
  <c r="J30" i="26"/>
  <c r="I30" i="26"/>
  <c r="H30" i="26"/>
  <c r="G30" i="26"/>
  <c r="F30" i="26"/>
  <c r="C29" i="26"/>
  <c r="G8" i="26"/>
  <c r="H8" i="26"/>
  <c r="I8" i="26"/>
  <c r="J8" i="26"/>
  <c r="K8" i="26"/>
  <c r="L8" i="26"/>
  <c r="I5" i="26"/>
  <c r="D5" i="26"/>
  <c r="D4" i="26"/>
  <c r="L2" i="26"/>
  <c r="J2" i="26"/>
  <c r="L35" i="23"/>
  <c r="K35" i="23"/>
  <c r="J35" i="23"/>
  <c r="I35" i="23"/>
  <c r="H35" i="23"/>
  <c r="G35" i="23"/>
  <c r="F35" i="23"/>
  <c r="XFD35" i="23"/>
  <c r="C36" i="23"/>
  <c r="D35" i="23"/>
  <c r="D33" i="23"/>
  <c r="L32" i="23"/>
  <c r="K32" i="23"/>
  <c r="J32" i="23"/>
  <c r="I32" i="23"/>
  <c r="H32" i="23"/>
  <c r="G32" i="23"/>
  <c r="L31" i="23"/>
  <c r="K31" i="23"/>
  <c r="J31" i="23"/>
  <c r="I31" i="23"/>
  <c r="H31" i="23"/>
  <c r="G31" i="23"/>
  <c r="F31" i="23"/>
  <c r="B35" i="23"/>
  <c r="C31" i="23"/>
  <c r="A20" i="10"/>
  <c r="A19" i="10"/>
  <c r="A18" i="10"/>
  <c r="A17" i="10"/>
  <c r="A16" i="10"/>
  <c r="A15" i="10"/>
  <c r="A14" i="10"/>
  <c r="A13" i="10"/>
  <c r="A12" i="10"/>
  <c r="A11" i="10"/>
  <c r="A10" i="10"/>
  <c r="A9" i="10"/>
  <c r="A8" i="10"/>
  <c r="A7" i="10"/>
  <c r="A6" i="10"/>
  <c r="A5" i="10"/>
  <c r="B22" i="10"/>
  <c r="F30" i="10"/>
  <c r="T19" i="10"/>
  <c r="R19" i="10"/>
  <c r="P19" i="10"/>
  <c r="N19" i="10"/>
  <c r="L19" i="10"/>
  <c r="J19" i="10"/>
  <c r="H19" i="10"/>
  <c r="T5" i="10"/>
  <c r="R5" i="10"/>
  <c r="P5" i="10"/>
  <c r="N5" i="10"/>
  <c r="L5" i="10"/>
  <c r="J5" i="10"/>
  <c r="H5" i="10"/>
  <c r="T18" i="10"/>
  <c r="R18" i="10"/>
  <c r="P18" i="10"/>
  <c r="N18" i="10"/>
  <c r="L18" i="10"/>
  <c r="J18" i="10"/>
  <c r="H18" i="10"/>
  <c r="D5" i="23"/>
  <c r="B25" i="23"/>
  <c r="B22" i="23"/>
  <c r="B20" i="23"/>
  <c r="B17" i="23"/>
  <c r="B14" i="23"/>
  <c r="B9" i="23"/>
  <c r="G8" i="23"/>
  <c r="H8" i="23"/>
  <c r="I8" i="23"/>
  <c r="J8" i="23"/>
  <c r="K8" i="23"/>
  <c r="L8" i="23"/>
  <c r="I5" i="23"/>
  <c r="D4" i="23"/>
  <c r="L2" i="23"/>
  <c r="J2" i="23"/>
  <c r="C5" i="22"/>
  <c r="B25" i="22"/>
  <c r="B22" i="22"/>
  <c r="B20" i="22"/>
  <c r="B17" i="22"/>
  <c r="B14" i="22"/>
  <c r="B9" i="22"/>
  <c r="E8" i="22"/>
  <c r="F8" i="22"/>
  <c r="G8" i="22"/>
  <c r="H8" i="22"/>
  <c r="I8" i="22"/>
  <c r="J8" i="22"/>
  <c r="G5" i="22"/>
  <c r="C4" i="22"/>
  <c r="J2" i="22"/>
  <c r="H2" i="22"/>
  <c r="G5" i="20"/>
  <c r="E8" i="20"/>
  <c r="F8" i="20"/>
  <c r="G8" i="20"/>
  <c r="H8" i="20"/>
  <c r="I8" i="20"/>
  <c r="J8" i="20"/>
  <c r="J2" i="20"/>
  <c r="H2" i="20"/>
  <c r="C5" i="20"/>
  <c r="B25" i="20"/>
  <c r="B22" i="20"/>
  <c r="B20" i="20"/>
  <c r="B17" i="20"/>
  <c r="B14" i="20"/>
  <c r="B9" i="20"/>
  <c r="C4" i="20"/>
  <c r="T17" i="10"/>
  <c r="R17" i="10"/>
  <c r="P17" i="10"/>
  <c r="N17" i="10"/>
  <c r="L17" i="10"/>
  <c r="J17" i="10"/>
  <c r="H17" i="10"/>
  <c r="T16" i="10"/>
  <c r="R16" i="10"/>
  <c r="P16" i="10"/>
  <c r="N16" i="10"/>
  <c r="L16" i="10"/>
  <c r="J16" i="10"/>
  <c r="H16" i="10"/>
  <c r="C5" i="19"/>
  <c r="B23" i="19"/>
  <c r="B20" i="19"/>
  <c r="B18" i="19"/>
  <c r="B15" i="19"/>
  <c r="B12" i="19"/>
  <c r="B9" i="19"/>
  <c r="P8" i="19"/>
  <c r="N8" i="19"/>
  <c r="L8" i="19"/>
  <c r="J8" i="19"/>
  <c r="H8" i="19"/>
  <c r="F8" i="19"/>
  <c r="K5" i="19"/>
  <c r="C4" i="19"/>
  <c r="P2" i="19"/>
  <c r="L2" i="19"/>
  <c r="T14" i="10"/>
  <c r="R14" i="10"/>
  <c r="P14" i="10"/>
  <c r="N14" i="10"/>
  <c r="L14" i="10"/>
  <c r="J14" i="10"/>
  <c r="H14" i="10"/>
  <c r="T12" i="10"/>
  <c r="R12" i="10"/>
  <c r="P12" i="10"/>
  <c r="N12" i="10"/>
  <c r="L12" i="10"/>
  <c r="J12" i="10"/>
  <c r="H12" i="10"/>
  <c r="P8" i="17"/>
  <c r="N8" i="17"/>
  <c r="L8" i="17"/>
  <c r="J8" i="17"/>
  <c r="H8" i="17"/>
  <c r="F8" i="17"/>
  <c r="K5" i="17"/>
  <c r="C5" i="17"/>
  <c r="B23" i="17"/>
  <c r="C4" i="17"/>
  <c r="P2" i="17"/>
  <c r="L2" i="17"/>
  <c r="B9" i="17"/>
  <c r="B12" i="17"/>
  <c r="B15" i="17"/>
  <c r="B18" i="17"/>
  <c r="B20" i="17"/>
  <c r="E11" i="16"/>
  <c r="I11" i="16"/>
  <c r="T20" i="10"/>
  <c r="R20" i="10"/>
  <c r="P20" i="10"/>
  <c r="N20" i="10"/>
  <c r="L20" i="10"/>
  <c r="J20" i="10"/>
  <c r="H20" i="10"/>
  <c r="P8" i="15"/>
  <c r="N8" i="15"/>
  <c r="L8" i="15"/>
  <c r="J8" i="15"/>
  <c r="H8" i="15"/>
  <c r="F8" i="15"/>
  <c r="K5" i="15"/>
  <c r="C5" i="15"/>
  <c r="B25" i="15"/>
  <c r="C4" i="15"/>
  <c r="P2" i="15"/>
  <c r="L2" i="15"/>
  <c r="T15" i="10"/>
  <c r="R15" i="10"/>
  <c r="P15" i="10"/>
  <c r="N15" i="10"/>
  <c r="L15" i="10"/>
  <c r="J15" i="10"/>
  <c r="H15" i="10"/>
  <c r="T21" i="10"/>
  <c r="T7" i="10"/>
  <c r="T11" i="10"/>
  <c r="T6" i="10"/>
  <c r="T9" i="10"/>
  <c r="T8" i="10"/>
  <c r="T13" i="10"/>
  <c r="T10" i="10"/>
  <c r="R21" i="10"/>
  <c r="R7" i="10"/>
  <c r="R11" i="10"/>
  <c r="R6" i="10"/>
  <c r="R9" i="10"/>
  <c r="R8" i="10"/>
  <c r="R13" i="10"/>
  <c r="R10" i="10"/>
  <c r="P21" i="10"/>
  <c r="P7" i="10"/>
  <c r="P11" i="10"/>
  <c r="P6" i="10"/>
  <c r="P9" i="10"/>
  <c r="P8" i="10"/>
  <c r="P13" i="10"/>
  <c r="P10" i="10"/>
  <c r="N21" i="10"/>
  <c r="N7" i="10"/>
  <c r="N11" i="10"/>
  <c r="N6" i="10"/>
  <c r="N9" i="10"/>
  <c r="N8" i="10"/>
  <c r="N13" i="10"/>
  <c r="N10" i="10"/>
  <c r="L21" i="10"/>
  <c r="L7" i="10"/>
  <c r="L11" i="10"/>
  <c r="L6" i="10"/>
  <c r="L9" i="10"/>
  <c r="L8" i="10"/>
  <c r="L13" i="10"/>
  <c r="L10" i="10"/>
  <c r="J21" i="10"/>
  <c r="J7" i="10"/>
  <c r="J11" i="10"/>
  <c r="J6" i="10"/>
  <c r="J9" i="10"/>
  <c r="J8" i="10"/>
  <c r="J13" i="10"/>
  <c r="J10" i="10"/>
  <c r="C5" i="6"/>
  <c r="B9" i="6"/>
  <c r="H21" i="10"/>
  <c r="H7" i="10"/>
  <c r="H11" i="10"/>
  <c r="H6" i="10"/>
  <c r="H9" i="10"/>
  <c r="H8" i="10"/>
  <c r="H13" i="10"/>
  <c r="H10" i="10"/>
  <c r="P8" i="6"/>
  <c r="P2" i="6"/>
  <c r="N8" i="6"/>
  <c r="L8" i="6"/>
  <c r="J8" i="6"/>
  <c r="H8" i="6"/>
  <c r="L2" i="6"/>
  <c r="F8" i="6"/>
  <c r="B23" i="6"/>
  <c r="B18" i="6"/>
  <c r="B9" i="15"/>
  <c r="B12" i="15"/>
  <c r="B15" i="15"/>
  <c r="B18" i="15"/>
  <c r="B20" i="15"/>
  <c r="B12" i="6"/>
  <c r="B20" i="6"/>
  <c r="B15" i="6"/>
  <c r="D29" i="27"/>
  <c r="B29" i="27"/>
</calcChain>
</file>

<file path=xl/sharedStrings.xml><?xml version="1.0" encoding="utf-8"?>
<sst xmlns="http://schemas.openxmlformats.org/spreadsheetml/2006/main" count="2913" uniqueCount="129">
  <si>
    <t>06:00--14:30</t>
  </si>
  <si>
    <t>13:30--22:00</t>
  </si>
  <si>
    <t>MIDDEL DOOR</t>
  </si>
  <si>
    <t>CONTACTOR DOOR</t>
  </si>
  <si>
    <t>Sat</t>
  </si>
  <si>
    <t>Fri</t>
  </si>
  <si>
    <t>Thu</t>
  </si>
  <si>
    <t>Wed</t>
  </si>
  <si>
    <t>Tue</t>
  </si>
  <si>
    <t>Mon</t>
  </si>
  <si>
    <t>Sun</t>
  </si>
  <si>
    <t>(505) 344-1900</t>
  </si>
  <si>
    <t>Location Phone:</t>
  </si>
  <si>
    <t>Customer No / Name:</t>
  </si>
  <si>
    <t>Customer Phone:</t>
  </si>
  <si>
    <t>THE HOME DEPOT</t>
  </si>
  <si>
    <t>End Date:</t>
  </si>
  <si>
    <t>Star Date:</t>
  </si>
  <si>
    <t>Customer Schedule</t>
  </si>
  <si>
    <t>Cell Phone</t>
  </si>
  <si>
    <t>Post</t>
  </si>
  <si>
    <t>Timer</t>
  </si>
  <si>
    <t>ENTRANCE DOOR</t>
  </si>
  <si>
    <t>07:00--20:00</t>
  </si>
  <si>
    <t>GARDEN DOOR</t>
  </si>
  <si>
    <t>14:00-20:00</t>
  </si>
  <si>
    <t>GARDEN/BREAK</t>
  </si>
  <si>
    <t>08:00--20:00</t>
  </si>
  <si>
    <t>RETURNS DOOR</t>
  </si>
  <si>
    <t>08:30--17:00</t>
  </si>
  <si>
    <t>Post No / Name:</t>
  </si>
  <si>
    <t>Tour</t>
  </si>
  <si>
    <t>08:00--14:00</t>
  </si>
  <si>
    <t>MIDDLE DOOR</t>
  </si>
  <si>
    <t>SUP</t>
  </si>
  <si>
    <t>SITE SUPERVISOR</t>
  </si>
  <si>
    <t>11:00--17:00</t>
  </si>
  <si>
    <t>Martinez Manuel 39</t>
  </si>
  <si>
    <t>Martinez Nathan 35</t>
  </si>
  <si>
    <t>Mayoral Alfredo 64</t>
  </si>
  <si>
    <t>Pierce Anthony 37</t>
  </si>
  <si>
    <t>Lerma Derrick 44</t>
  </si>
  <si>
    <t>Shelby Kendra 126</t>
  </si>
  <si>
    <t>Clark Chistopher 156</t>
  </si>
  <si>
    <t>Solma Joseph 43</t>
  </si>
  <si>
    <t>Chavez Derek 93</t>
  </si>
  <si>
    <t>Senn Amani 123</t>
  </si>
  <si>
    <t>Barela Darren 164</t>
  </si>
  <si>
    <t>Swanson Jalexus 122</t>
  </si>
  <si>
    <t xml:space="preserve">TR OPEN </t>
  </si>
  <si>
    <t>Pirrone Billy 160</t>
  </si>
  <si>
    <t>Candelaria Matthew 29</t>
  </si>
  <si>
    <t>Name / List</t>
  </si>
  <si>
    <t>Johnson Dquenelle 58</t>
  </si>
  <si>
    <t>SHIRT</t>
  </si>
  <si>
    <t>2XL</t>
  </si>
  <si>
    <t>TRANSP.</t>
  </si>
  <si>
    <t>ON CALL</t>
  </si>
  <si>
    <t>Stevenson Dominic 20</t>
  </si>
  <si>
    <t>Edmunds Cara 20</t>
  </si>
  <si>
    <t>Ramirez Yanier 40</t>
  </si>
  <si>
    <t>Payne Clifton 104</t>
  </si>
  <si>
    <t>a</t>
  </si>
  <si>
    <t>c</t>
  </si>
  <si>
    <t xml:space="preserve">CARD#  </t>
  </si>
  <si>
    <t>DATE EXPIRES</t>
  </si>
  <si>
    <t xml:space="preserve"> PANTS </t>
  </si>
  <si>
    <t>Simpson Laquavia 170</t>
  </si>
  <si>
    <t>13:30--17:45</t>
  </si>
  <si>
    <t>17:45--22:00</t>
  </si>
  <si>
    <t>RETURNS</t>
  </si>
  <si>
    <t>Jensen Ruth 181</t>
  </si>
  <si>
    <t>MGR INITIAL</t>
  </si>
  <si>
    <t>LUNCH IN</t>
  </si>
  <si>
    <t>LUNCH OUT</t>
  </si>
  <si>
    <t>OUT</t>
  </si>
  <si>
    <t>IN</t>
  </si>
  <si>
    <t>NAME:</t>
  </si>
  <si>
    <t>WEEKENDING:</t>
  </si>
  <si>
    <t>STORE NAME:</t>
  </si>
  <si>
    <t>STORE#</t>
  </si>
  <si>
    <t>05/06/2018</t>
  </si>
  <si>
    <t>05/26/2018</t>
  </si>
  <si>
    <t>Leiva-Guerra Laura 155</t>
  </si>
  <si>
    <t>Chavez JR Joseph 177</t>
  </si>
  <si>
    <t>Martinez Jose 179</t>
  </si>
  <si>
    <t>05/27/2018</t>
  </si>
  <si>
    <t>Harrison Rochelle 187</t>
  </si>
  <si>
    <t>Olona Chistina 185</t>
  </si>
  <si>
    <t>Yes</t>
  </si>
  <si>
    <t>Car</t>
  </si>
  <si>
    <t>PM</t>
  </si>
  <si>
    <t>07:00--13:30</t>
  </si>
  <si>
    <t>McCook Wayne 188</t>
  </si>
  <si>
    <t>Thr</t>
  </si>
  <si>
    <t>13:30--20:00</t>
  </si>
  <si>
    <t>Candelaria Gabriel</t>
  </si>
  <si>
    <t>No</t>
  </si>
  <si>
    <t>Evaluation</t>
  </si>
  <si>
    <t>Absent</t>
  </si>
  <si>
    <t>Late</t>
  </si>
  <si>
    <t>Early</t>
  </si>
  <si>
    <t>Left Early</t>
  </si>
  <si>
    <t>Cover</t>
  </si>
  <si>
    <t>Hrs</t>
  </si>
  <si>
    <t>Real Hrs:</t>
  </si>
  <si>
    <t>Schedule Hrs:</t>
  </si>
  <si>
    <t>Columna1</t>
  </si>
  <si>
    <t>3 Hr 30 Min</t>
  </si>
  <si>
    <t>4 Hr</t>
  </si>
  <si>
    <t>Leyva-Guerra Laura 155</t>
  </si>
  <si>
    <t>Alonso Luis 201</t>
  </si>
  <si>
    <t>Harper Loretta 202</t>
  </si>
  <si>
    <t>Designer:</t>
  </si>
  <si>
    <t xml:space="preserve">Program's Mayoral® </t>
  </si>
  <si>
    <t>Version:</t>
  </si>
  <si>
    <t>6.1.0</t>
  </si>
  <si>
    <t>Worked</t>
  </si>
  <si>
    <t>ID</t>
  </si>
  <si>
    <t>Details</t>
  </si>
  <si>
    <t>Call Off (4 Hrs)</t>
  </si>
  <si>
    <t>Not Notified</t>
  </si>
  <si>
    <t>Sick</t>
  </si>
  <si>
    <t>Appointment</t>
  </si>
  <si>
    <t>Details:</t>
  </si>
  <si>
    <t>mayoralap@gmail.com</t>
  </si>
  <si>
    <t>(863) 279-2446</t>
  </si>
  <si>
    <t>Stores</t>
  </si>
  <si>
    <t>Pay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</si>
</sst>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lt;=9999999]###\-####;\(###\)\ ###\-####"/>
    <numFmt numFmtId="165" formatCode="m/d;@"/>
    <numFmt numFmtId="166" formatCode="h:mm;@"/>
    <numFmt numFmtId="167" formatCode="d"/>
    <numFmt numFmtId="168" formatCode="mmmm"/>
  </numFmts>
  <fonts count="55" x14ac:knownFonts="1">
    <font>
      <sz val="11"/>
      <color theme="1"/>
      <name val="Palatino Linotype"/>
      <family val="2"/>
      <scheme val="minor"/>
    </font>
    <font>
      <b/>
      <sz val="11"/>
      <color theme="1"/>
      <name val="Palatino Linotype"/>
      <family val="2"/>
      <scheme val="minor"/>
    </font>
    <font>
      <b/>
      <sz val="12"/>
      <color theme="1"/>
      <name val="Palatino Linotype"/>
      <family val="2"/>
      <scheme val="minor"/>
    </font>
    <font>
      <b/>
      <i/>
      <sz val="12"/>
      <color theme="1"/>
      <name val="Palatino Linotype"/>
      <family val="2"/>
      <scheme val="minor"/>
    </font>
    <font>
      <b/>
      <sz val="10"/>
      <color theme="1"/>
      <name val="Palatino Linotype"/>
      <family val="2"/>
      <scheme val="minor"/>
    </font>
    <font>
      <b/>
      <i/>
      <u/>
      <sz val="11"/>
      <color theme="1"/>
      <name val="Palatino Linotype"/>
      <family val="2"/>
      <scheme val="minor"/>
    </font>
    <font>
      <sz val="10"/>
      <color theme="1"/>
      <name val="Palatino Linotype"/>
      <family val="2"/>
      <scheme val="minor"/>
    </font>
    <font>
      <sz val="11"/>
      <color theme="1"/>
      <name val="Palatino Linotype"/>
      <family val="2"/>
      <scheme val="minor"/>
    </font>
    <font>
      <sz val="11"/>
      <color theme="0"/>
      <name val="Palatino Linotype"/>
      <family val="2"/>
      <scheme val="minor"/>
    </font>
    <font>
      <sz val="28"/>
      <color theme="2" tint="-0.749992370372631"/>
      <name val="Bernard MT Condensed"/>
      <family val="1"/>
    </font>
    <font>
      <i/>
      <sz val="11"/>
      <color theme="1"/>
      <name val="Arial Narrow"/>
      <family val="2"/>
    </font>
    <font>
      <sz val="11"/>
      <name val="Palatino Linotype"/>
      <family val="2"/>
      <scheme val="minor"/>
    </font>
    <font>
      <b/>
      <i/>
      <sz val="11"/>
      <color theme="1"/>
      <name val="Palatino Linotype"/>
      <family val="1"/>
      <scheme val="minor"/>
    </font>
    <font>
      <b/>
      <i/>
      <sz val="11"/>
      <name val="Palatino Linotype"/>
      <family val="1"/>
      <scheme val="minor"/>
    </font>
    <font>
      <i/>
      <sz val="12"/>
      <color theme="1"/>
      <name val="Calibri Light"/>
      <family val="2"/>
    </font>
    <font>
      <i/>
      <sz val="11"/>
      <color theme="1"/>
      <name val="Calibri Light"/>
      <family val="2"/>
    </font>
    <font>
      <sz val="8"/>
      <name val="Arial"/>
      <family val="2"/>
    </font>
    <font>
      <sz val="10"/>
      <name val="Marlett"/>
      <charset val="2"/>
    </font>
    <font>
      <b/>
      <sz val="8"/>
      <color theme="1"/>
      <name val="Calibri Light"/>
      <family val="2"/>
    </font>
    <font>
      <b/>
      <sz val="11"/>
      <color theme="1"/>
      <name val="Calibri Light"/>
      <family val="2"/>
    </font>
    <font>
      <b/>
      <i/>
      <sz val="11"/>
      <color theme="1"/>
      <name val="Calibri Light"/>
      <family val="2"/>
    </font>
    <font>
      <b/>
      <i/>
      <sz val="10"/>
      <color theme="1"/>
      <name val="Calibri Light"/>
      <family val="2"/>
    </font>
    <font>
      <b/>
      <i/>
      <u/>
      <sz val="10"/>
      <color theme="1"/>
      <name val="Palatino Linotype"/>
      <family val="2"/>
      <scheme val="minor"/>
    </font>
    <font>
      <i/>
      <sz val="10"/>
      <color theme="1"/>
      <name val="Calibri Light"/>
      <family val="2"/>
    </font>
    <font>
      <sz val="16"/>
      <color rgb="FF875B0B"/>
      <name val="Bernard MT Condensed"/>
      <family val="1"/>
    </font>
    <font>
      <b/>
      <sz val="11"/>
      <color theme="1"/>
      <name val="Palatino Linotype"/>
      <family val="1"/>
      <scheme val="minor"/>
    </font>
    <font>
      <sz val="12"/>
      <color theme="1"/>
      <name val="Palatino Linotype"/>
      <family val="2"/>
      <scheme val="minor"/>
    </font>
    <font>
      <b/>
      <sz val="16"/>
      <color theme="2" tint="-0.749992370372631"/>
      <name val="Palatino Linotype"/>
      <family val="1"/>
      <scheme val="minor"/>
    </font>
    <font>
      <sz val="10"/>
      <color theme="1"/>
      <name val="Arial"/>
      <family val="2"/>
    </font>
    <font>
      <sz val="11"/>
      <color theme="1"/>
      <name val="Arial"/>
      <family val="2"/>
    </font>
    <font>
      <sz val="36"/>
      <color theme="2" tint="-0.749992370372631"/>
      <name val="Bernard MT Condensed"/>
      <family val="1"/>
    </font>
    <font>
      <b/>
      <sz val="28"/>
      <color rgb="FF875B0B"/>
      <name val="Palatino Linotype"/>
      <family val="1"/>
      <scheme val="minor"/>
    </font>
    <font>
      <i/>
      <sz val="12"/>
      <name val="Palatino Linotype"/>
      <family val="1"/>
      <scheme val="minor"/>
    </font>
    <font>
      <sz val="8"/>
      <color theme="1"/>
      <name val="Palatino Linotype"/>
      <family val="2"/>
      <scheme val="minor"/>
    </font>
    <font>
      <i/>
      <sz val="10"/>
      <color theme="7" tint="-0.249977111117893"/>
      <name val="Palatino Linotype"/>
      <family val="1"/>
      <scheme val="minor"/>
    </font>
    <font>
      <i/>
      <sz val="14"/>
      <color theme="7" tint="-0.249977111117893"/>
      <name val="Palatino Linotype"/>
      <family val="1"/>
      <scheme val="minor"/>
    </font>
    <font>
      <b/>
      <sz val="12"/>
      <color theme="3" tint="-0.249977111117893"/>
      <name val="Palatino Linotype"/>
      <family val="1"/>
      <scheme val="minor"/>
    </font>
    <font>
      <b/>
      <sz val="16"/>
      <color theme="1"/>
      <name val="Palatino Linotype"/>
      <family val="1"/>
      <scheme val="minor"/>
    </font>
    <font>
      <sz val="14"/>
      <color theme="1"/>
      <name val="Palatino Linotype"/>
      <family val="2"/>
      <scheme val="minor"/>
    </font>
    <font>
      <sz val="11"/>
      <color rgb="FF006100"/>
      <name val="Palatino Linotype"/>
      <family val="2"/>
      <scheme val="minor"/>
    </font>
    <font>
      <sz val="10"/>
      <color theme="7" tint="-0.249977111117893"/>
      <name val="Palatino Linotype"/>
      <family val="1"/>
      <scheme val="minor"/>
    </font>
    <font>
      <b/>
      <sz val="20"/>
      <color theme="1"/>
      <name val="Wingdings 2"/>
      <family val="1"/>
      <charset val="2"/>
    </font>
    <font>
      <b/>
      <sz val="20"/>
      <color theme="1"/>
      <name val="Palatino Linotype"/>
      <family val="1"/>
      <scheme val="major"/>
    </font>
    <font>
      <sz val="11"/>
      <color rgb="FF417A85"/>
      <name val="Palatino Linotype"/>
      <family val="2"/>
      <scheme val="minor"/>
    </font>
    <font>
      <b/>
      <sz val="12"/>
      <color theme="7" tint="-0.249977111117893"/>
      <name val="Arial Narrow"/>
      <family val="2"/>
    </font>
    <font>
      <sz val="16"/>
      <color theme="1"/>
      <name val="Palatino Linotype"/>
      <family val="2"/>
      <scheme val="minor"/>
    </font>
    <font>
      <sz val="14"/>
      <name val="Palatino Linotype"/>
      <family val="1"/>
      <scheme val="major"/>
    </font>
    <font>
      <b/>
      <sz val="18"/>
      <color theme="3" tint="-0.249977111117893"/>
      <name val="Palatino Linotype"/>
      <family val="1"/>
      <scheme val="minor"/>
    </font>
    <font>
      <sz val="9"/>
      <color theme="1"/>
      <name val="Palatino Linotype"/>
      <family val="2"/>
      <scheme val="minor"/>
    </font>
    <font>
      <b/>
      <sz val="11"/>
      <color theme="7" tint="-0.249977111117893"/>
      <name val="Calibri Light"/>
      <family val="2"/>
    </font>
    <font>
      <u/>
      <sz val="11"/>
      <color theme="10"/>
      <name val="Palatino Linotype"/>
      <family val="2"/>
      <scheme val="minor"/>
    </font>
    <font>
      <sz val="11"/>
      <color theme="0" tint="-0.34998626667073579"/>
      <name val="Palatino Linotype"/>
      <family val="1"/>
      <scheme val="minor"/>
    </font>
    <font>
      <b/>
      <sz val="10"/>
      <color theme="1"/>
      <name val="Palatino Linotype"/>
      <family val="1"/>
      <scheme val="minor"/>
    </font>
    <font>
      <i/>
      <sz val="22"/>
      <name val="Palatino Linotype"/>
      <family val="1"/>
      <scheme val="major"/>
    </font>
    <font>
      <b/>
      <i/>
      <sz val="12"/>
      <color theme="7" tint="-0.249977111117893"/>
      <name val="Palatino Linotype"/>
      <family val="1"/>
      <scheme val="minor"/>
    </font>
  </fonts>
  <fills count="22">
    <fill>
      <patternFill patternType="none"/>
    </fill>
    <fill>
      <patternFill patternType="gray125"/>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5" tint="0.59999389629810485"/>
        <bgColor indexed="65"/>
      </patternFill>
    </fill>
    <fill>
      <gradientFill degree="270">
        <stop position="0">
          <color theme="0"/>
        </stop>
        <stop position="1">
          <color theme="4"/>
        </stop>
      </gradientFill>
    </fill>
    <fill>
      <patternFill patternType="solid">
        <fgColor theme="4" tint="0.59999389629810485"/>
        <bgColor indexed="65"/>
      </patternFill>
    </fill>
    <fill>
      <patternFill patternType="solid">
        <fgColor theme="5"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8" tint="0.79998168889431442"/>
        <bgColor indexed="64"/>
      </patternFill>
    </fill>
    <fill>
      <patternFill patternType="solid">
        <fgColor rgb="FFC6EFCE"/>
      </patternFill>
    </fill>
    <fill>
      <patternFill patternType="solid">
        <fgColor theme="4" tint="0.79998168889431442"/>
        <bgColor indexed="64"/>
      </patternFill>
    </fill>
    <fill>
      <patternFill patternType="solid">
        <fgColor rgb="FFEBF4F5"/>
        <bgColor indexed="64"/>
      </patternFill>
    </fill>
    <fill>
      <patternFill patternType="solid">
        <fgColor theme="0" tint="-0.34998626667073579"/>
        <bgColor indexed="64"/>
      </patternFill>
    </fill>
  </fills>
  <borders count="25">
    <border>
      <left/>
      <right/>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indexed="64"/>
      </left>
      <right/>
      <top/>
      <bottom/>
      <diagonal/>
    </border>
    <border>
      <left/>
      <right/>
      <top style="thin">
        <color auto="1"/>
      </top>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auto="1"/>
      </right>
      <top/>
      <bottom/>
      <diagonal/>
    </border>
    <border>
      <left/>
      <right/>
      <top style="thin">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ck">
        <color theme="0"/>
      </left>
      <right style="thick">
        <color theme="0"/>
      </right>
      <top style="thick">
        <color theme="0"/>
      </top>
      <bottom style="thick">
        <color theme="0"/>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s>
  <cellStyleXfs count="16">
    <xf numFmtId="0" fontId="0" fillId="0" borderId="0"/>
    <xf numFmtId="0" fontId="7" fillId="2" borderId="11" applyNumberFormat="0" applyFont="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7" fillId="12" borderId="0" applyNumberFormat="0" applyBorder="0" applyAlignment="0" applyProtection="0"/>
    <xf numFmtId="0" fontId="6" fillId="0" borderId="0"/>
    <xf numFmtId="9" fontId="7" fillId="0" borderId="0" applyFont="0" applyFill="0" applyBorder="0" applyAlignment="0" applyProtection="0"/>
    <xf numFmtId="0" fontId="39" fillId="18" borderId="0" applyNumberFormat="0" applyBorder="0" applyAlignment="0" applyProtection="0"/>
    <xf numFmtId="0" fontId="50" fillId="0" borderId="0" applyNumberFormat="0" applyFill="0" applyBorder="0" applyAlignment="0" applyProtection="0"/>
    <xf numFmtId="0" fontId="51" fillId="21" borderId="20" applyNumberFormat="0" applyAlignment="0">
      <alignment vertical="center"/>
    </xf>
  </cellStyleXfs>
  <cellXfs count="379">
    <xf numFmtId="0" fontId="0" fillId="0" borderId="0" xfId="0"/>
    <xf numFmtId="0" fontId="0" fillId="0" borderId="0" xfId="0" applyAlignment="1">
      <alignment horizontal="center" vertical="center"/>
    </xf>
    <xf numFmtId="0" fontId="2" fillId="0" borderId="0" xfId="0" applyFont="1" applyAlignment="1">
      <alignment vertical="center"/>
    </xf>
    <xf numFmtId="0" fontId="5" fillId="0" borderId="0" xfId="0" applyFont="1"/>
    <xf numFmtId="0" fontId="0" fillId="0" borderId="4" xfId="0" applyBorder="1" applyAlignment="1">
      <alignment horizontal="left"/>
    </xf>
    <xf numFmtId="0" fontId="0" fillId="0" borderId="0" xfId="0" applyAlignment="1">
      <alignment horizontal="center" wrapText="1"/>
    </xf>
    <xf numFmtId="0" fontId="0" fillId="0" borderId="4" xfId="0" applyBorder="1"/>
    <xf numFmtId="0" fontId="0" fillId="0" borderId="6" xfId="0" applyBorder="1" applyAlignment="1">
      <alignment horizontal="left" vertical="top"/>
    </xf>
    <xf numFmtId="0" fontId="6" fillId="0" borderId="3" xfId="0" applyFont="1" applyBorder="1" applyAlignment="1">
      <alignment horizontal="center" vertical="center"/>
    </xf>
    <xf numFmtId="165" fontId="7" fillId="4" borderId="3" xfId="3" applyNumberFormat="1" applyBorder="1"/>
    <xf numFmtId="0" fontId="7" fillId="4" borderId="3" xfId="3" applyBorder="1"/>
    <xf numFmtId="0" fontId="7" fillId="4" borderId="4" xfId="3" applyBorder="1"/>
    <xf numFmtId="0" fontId="17" fillId="0" borderId="0" xfId="0" applyFont="1" applyAlignment="1">
      <alignment vertical="center"/>
    </xf>
    <xf numFmtId="0" fontId="17" fillId="0" borderId="0" xfId="0" applyFont="1"/>
    <xf numFmtId="0" fontId="0" fillId="0" borderId="0" xfId="0" applyAlignment="1">
      <alignment vertical="center"/>
    </xf>
    <xf numFmtId="0" fontId="19" fillId="13" borderId="3" xfId="0" applyFont="1" applyFill="1" applyBorder="1" applyAlignment="1">
      <alignment vertical="center"/>
    </xf>
    <xf numFmtId="0" fontId="18" fillId="13" borderId="3" xfId="0" applyFont="1" applyFill="1" applyBorder="1" applyAlignment="1">
      <alignment horizontal="center" vertical="center"/>
    </xf>
    <xf numFmtId="0" fontId="0" fillId="0" borderId="0" xfId="0" applyAlignment="1">
      <alignment horizontal="center"/>
    </xf>
    <xf numFmtId="0" fontId="17" fillId="0" borderId="2" xfId="0" applyFont="1" applyBorder="1" applyAlignment="1">
      <alignment horizontal="center"/>
    </xf>
    <xf numFmtId="0" fontId="0" fillId="14" borderId="0" xfId="0" applyFill="1"/>
    <xf numFmtId="0" fontId="0" fillId="14" borderId="0" xfId="0" applyFill="1" applyAlignment="1">
      <alignment horizontal="center" vertical="center"/>
    </xf>
    <xf numFmtId="0" fontId="1" fillId="14" borderId="0" xfId="0" applyFont="1" applyFill="1" applyBorder="1" applyAlignment="1">
      <alignment horizontal="center"/>
    </xf>
    <xf numFmtId="14" fontId="1" fillId="14" borderId="0" xfId="0" applyNumberFormat="1" applyFont="1" applyFill="1" applyBorder="1" applyAlignment="1">
      <alignment horizontal="center"/>
    </xf>
    <xf numFmtId="0" fontId="1" fillId="14" borderId="0" xfId="0" applyFont="1" applyFill="1" applyBorder="1" applyAlignment="1">
      <alignment horizontal="right"/>
    </xf>
    <xf numFmtId="0" fontId="1" fillId="14" borderId="0" xfId="0" applyFont="1" applyFill="1" applyBorder="1" applyAlignment="1"/>
    <xf numFmtId="0" fontId="4" fillId="14" borderId="0" xfId="0" applyFont="1" applyFill="1" applyBorder="1" applyAlignment="1">
      <alignment horizontal="center"/>
    </xf>
    <xf numFmtId="0" fontId="1" fillId="14" borderId="0" xfId="0" applyFont="1" applyFill="1" applyBorder="1" applyAlignment="1">
      <alignment horizontal="left"/>
    </xf>
    <xf numFmtId="0" fontId="20" fillId="13" borderId="3" xfId="1" applyFont="1" applyFill="1" applyBorder="1" applyAlignment="1" applyProtection="1">
      <alignment vertical="center"/>
      <protection locked="0"/>
    </xf>
    <xf numFmtId="0" fontId="15" fillId="0" borderId="3" xfId="0" applyFont="1" applyBorder="1" applyProtection="1">
      <protection locked="0"/>
    </xf>
    <xf numFmtId="14" fontId="15" fillId="0" borderId="3" xfId="0" applyNumberFormat="1" applyFont="1" applyBorder="1" applyAlignment="1" applyProtection="1">
      <alignment horizontal="center" vertical="center"/>
      <protection locked="0"/>
    </xf>
    <xf numFmtId="0" fontId="15" fillId="0" borderId="2" xfId="0" applyFont="1" applyBorder="1" applyAlignment="1" applyProtection="1">
      <alignment horizontal="center"/>
      <protection locked="0"/>
    </xf>
    <xf numFmtId="0" fontId="15" fillId="0" borderId="3" xfId="0" applyFont="1" applyBorder="1" applyAlignment="1" applyProtection="1">
      <alignment horizontal="center"/>
      <protection locked="0"/>
    </xf>
    <xf numFmtId="0" fontId="14" fillId="0" borderId="3" xfId="0" applyNumberFormat="1" applyFont="1" applyBorder="1" applyAlignment="1" applyProtection="1">
      <alignment horizontal="center" vertical="center"/>
      <protection locked="0"/>
    </xf>
    <xf numFmtId="0" fontId="15" fillId="0" borderId="3" xfId="0" applyFont="1" applyBorder="1" applyAlignment="1" applyProtection="1">
      <alignment horizontal="center" vertical="center"/>
      <protection locked="0"/>
    </xf>
    <xf numFmtId="0" fontId="20" fillId="13" borderId="3" xfId="1" applyFont="1" applyFill="1" applyBorder="1" applyAlignment="1" applyProtection="1">
      <alignment horizontal="left" vertical="center"/>
      <protection locked="0"/>
    </xf>
    <xf numFmtId="0" fontId="16" fillId="0" borderId="1" xfId="0" applyFont="1" applyBorder="1" applyAlignment="1" applyProtection="1">
      <alignment horizontal="center"/>
      <protection locked="0"/>
    </xf>
    <xf numFmtId="0" fontId="21" fillId="13" borderId="3" xfId="0" applyFont="1" applyFill="1" applyBorder="1" applyAlignment="1">
      <alignment horizontal="center" vertical="center"/>
    </xf>
    <xf numFmtId="0" fontId="6" fillId="0" borderId="0" xfId="0" applyFont="1"/>
    <xf numFmtId="0" fontId="22" fillId="0" borderId="0" xfId="0" applyFont="1"/>
    <xf numFmtId="0" fontId="6" fillId="4" borderId="3" xfId="3" applyFont="1" applyBorder="1" applyAlignment="1">
      <alignment horizontal="center" vertical="center"/>
    </xf>
    <xf numFmtId="0" fontId="6" fillId="4" borderId="3" xfId="3" applyFont="1" applyBorder="1" applyAlignment="1">
      <alignment horizontal="center"/>
    </xf>
    <xf numFmtId="20" fontId="6" fillId="4" borderId="3" xfId="3" applyNumberFormat="1" applyFont="1" applyBorder="1" applyAlignment="1">
      <alignment horizontal="center"/>
    </xf>
    <xf numFmtId="0" fontId="6" fillId="4" borderId="4" xfId="3" applyFont="1" applyBorder="1" applyAlignment="1">
      <alignment horizontal="center"/>
    </xf>
    <xf numFmtId="164" fontId="23" fillId="13" borderId="3" xfId="1" applyNumberFormat="1" applyFont="1" applyFill="1" applyBorder="1" applyAlignment="1" applyProtection="1">
      <alignment horizontal="center" vertical="center"/>
      <protection locked="0"/>
    </xf>
    <xf numFmtId="0" fontId="23" fillId="13" borderId="3" xfId="1" applyFont="1" applyFill="1" applyBorder="1" applyAlignment="1" applyProtection="1">
      <alignment horizontal="left" vertical="center"/>
      <protection locked="0"/>
    </xf>
    <xf numFmtId="0" fontId="0" fillId="0" borderId="0" xfId="0" applyBorder="1"/>
    <xf numFmtId="0" fontId="6" fillId="0" borderId="0" xfId="0" applyFont="1" applyBorder="1"/>
    <xf numFmtId="0" fontId="1" fillId="13" borderId="3" xfId="0" applyFont="1" applyFill="1" applyBorder="1" applyAlignment="1">
      <alignment horizontal="left" vertical="center"/>
    </xf>
    <xf numFmtId="0" fontId="1" fillId="13" borderId="3" xfId="0" applyFont="1" applyFill="1" applyBorder="1" applyAlignment="1">
      <alignment horizontal="center"/>
    </xf>
    <xf numFmtId="0" fontId="1" fillId="0" borderId="0" xfId="0" applyFont="1" applyFill="1" applyBorder="1" applyAlignment="1">
      <alignment horizontal="center"/>
    </xf>
    <xf numFmtId="164" fontId="23" fillId="0" borderId="0" xfId="1" applyNumberFormat="1" applyFont="1" applyFill="1" applyBorder="1" applyAlignment="1" applyProtection="1">
      <alignment horizontal="center" vertical="center"/>
      <protection locked="0"/>
    </xf>
    <xf numFmtId="0" fontId="0" fillId="0" borderId="0" xfId="0" applyFill="1" applyBorder="1"/>
    <xf numFmtId="0" fontId="0" fillId="0" borderId="0" xfId="0" applyFill="1"/>
    <xf numFmtId="0" fontId="0" fillId="0" borderId="6" xfId="0" applyBorder="1" applyAlignment="1">
      <alignment horizontal="left" vertical="top"/>
    </xf>
    <xf numFmtId="0" fontId="1" fillId="14" borderId="0" xfId="0" applyFont="1" applyFill="1" applyBorder="1" applyAlignment="1">
      <alignment horizontal="right"/>
    </xf>
    <xf numFmtId="14" fontId="1" fillId="14" borderId="0" xfId="0" applyNumberFormat="1" applyFont="1" applyFill="1" applyBorder="1" applyAlignment="1">
      <alignment horizontal="center"/>
    </xf>
    <xf numFmtId="0" fontId="1" fillId="14" borderId="0" xfId="0" applyFont="1" applyFill="1" applyBorder="1" applyAlignment="1">
      <alignment horizontal="center"/>
    </xf>
    <xf numFmtId="0" fontId="4" fillId="14" borderId="0" xfId="0" applyFont="1" applyFill="1" applyBorder="1" applyAlignment="1">
      <alignment horizontal="center"/>
    </xf>
    <xf numFmtId="0" fontId="6" fillId="0" borderId="4" xfId="0" applyFont="1" applyBorder="1" applyAlignment="1">
      <alignment horizontal="center" vertical="center"/>
    </xf>
    <xf numFmtId="0" fontId="20" fillId="13" borderId="3" xfId="0" applyFont="1" applyFill="1" applyBorder="1" applyAlignment="1">
      <alignment vertical="center"/>
    </xf>
    <xf numFmtId="0" fontId="0" fillId="0" borderId="6" xfId="0" applyBorder="1"/>
    <xf numFmtId="166" fontId="0" fillId="0" borderId="6" xfId="0" applyNumberFormat="1" applyBorder="1" applyAlignment="1">
      <alignment horizontal="center" vertical="center"/>
    </xf>
    <xf numFmtId="166" fontId="0" fillId="0" borderId="13" xfId="0" applyNumberFormat="1" applyBorder="1" applyAlignment="1">
      <alignment horizontal="center" vertical="center"/>
    </xf>
    <xf numFmtId="0" fontId="6" fillId="0" borderId="7" xfId="0" applyFont="1" applyBorder="1" applyAlignment="1">
      <alignment horizontal="center" vertical="center"/>
    </xf>
    <xf numFmtId="0" fontId="0" fillId="0" borderId="4" xfId="0" applyBorder="1" applyAlignment="1">
      <alignment horizontal="center" vertical="center"/>
    </xf>
    <xf numFmtId="0" fontId="0" fillId="0" borderId="7" xfId="0" applyBorder="1" applyAlignment="1">
      <alignment horizontal="center" vertical="center"/>
    </xf>
    <xf numFmtId="0" fontId="0" fillId="0" borderId="12" xfId="0" applyBorder="1" applyAlignment="1"/>
    <xf numFmtId="0" fontId="25" fillId="0" borderId="0" xfId="0" applyFont="1" applyAlignment="1">
      <alignment horizontal="center" vertical="center"/>
    </xf>
    <xf numFmtId="167" fontId="0" fillId="0" borderId="0" xfId="0" applyNumberFormat="1" applyAlignment="1">
      <alignment horizontal="center" vertical="center"/>
    </xf>
    <xf numFmtId="0" fontId="27" fillId="0" borderId="12" xfId="0" applyFont="1" applyBorder="1" applyAlignment="1">
      <alignment horizontal="center"/>
    </xf>
    <xf numFmtId="0" fontId="28" fillId="0" borderId="4" xfId="0" applyFont="1" applyBorder="1" applyAlignment="1">
      <alignment horizontal="center" vertical="center"/>
    </xf>
    <xf numFmtId="0" fontId="29" fillId="0" borderId="0" xfId="0" applyFont="1"/>
    <xf numFmtId="166" fontId="0" fillId="0" borderId="13" xfId="0" applyNumberFormat="1" applyBorder="1" applyAlignment="1" applyProtection="1">
      <alignment horizontal="center" vertical="center"/>
      <protection locked="0"/>
    </xf>
    <xf numFmtId="166" fontId="0" fillId="0" borderId="6" xfId="0" applyNumberFormat="1" applyBorder="1" applyAlignment="1" applyProtection="1">
      <alignment horizontal="center" vertical="center"/>
      <protection locked="0"/>
    </xf>
    <xf numFmtId="0" fontId="0" fillId="0" borderId="0" xfId="0" applyProtection="1">
      <protection locked="0"/>
    </xf>
    <xf numFmtId="168" fontId="0" fillId="0" borderId="0" xfId="0" applyNumberFormat="1" applyAlignment="1" applyProtection="1">
      <alignment horizontal="center" vertical="center"/>
      <protection locked="0"/>
    </xf>
    <xf numFmtId="0" fontId="6" fillId="0" borderId="4" xfId="0" applyFont="1" applyBorder="1" applyAlignment="1">
      <alignment horizontal="center" vertical="center"/>
    </xf>
    <xf numFmtId="0" fontId="1" fillId="14" borderId="0" xfId="0" applyFont="1" applyFill="1" applyBorder="1" applyAlignment="1">
      <alignment horizontal="center"/>
    </xf>
    <xf numFmtId="14" fontId="1" fillId="14" borderId="0" xfId="0" applyNumberFormat="1" applyFont="1" applyFill="1" applyBorder="1" applyAlignment="1">
      <alignment horizontal="center"/>
    </xf>
    <xf numFmtId="0" fontId="0" fillId="0" borderId="6" xfId="0" applyBorder="1" applyAlignment="1">
      <alignment horizontal="left" vertical="top"/>
    </xf>
    <xf numFmtId="0" fontId="1" fillId="14" borderId="0" xfId="0" applyFont="1" applyFill="1" applyBorder="1" applyAlignment="1">
      <alignment horizontal="right"/>
    </xf>
    <xf numFmtId="0" fontId="4" fillId="14" borderId="0" xfId="0" applyFont="1" applyFill="1" applyBorder="1" applyAlignment="1">
      <alignment horizontal="center"/>
    </xf>
    <xf numFmtId="0" fontId="0" fillId="0" borderId="0" xfId="0" applyAlignment="1">
      <alignment horizontal="center" vertical="center"/>
    </xf>
    <xf numFmtId="0" fontId="0" fillId="0" borderId="6" xfId="0" applyBorder="1" applyAlignment="1">
      <alignment horizontal="left" vertical="top"/>
    </xf>
    <xf numFmtId="0" fontId="1" fillId="14" borderId="0" xfId="0" applyFont="1" applyFill="1" applyBorder="1" applyAlignment="1">
      <alignment horizontal="right"/>
    </xf>
    <xf numFmtId="14" fontId="1" fillId="14" borderId="0" xfId="0" applyNumberFormat="1" applyFont="1" applyFill="1" applyBorder="1" applyAlignment="1">
      <alignment horizontal="center"/>
    </xf>
    <xf numFmtId="0" fontId="1" fillId="14" borderId="0" xfId="0" applyFont="1" applyFill="1" applyBorder="1" applyAlignment="1">
      <alignment horizontal="center"/>
    </xf>
    <xf numFmtId="0" fontId="4" fillId="14" borderId="0" xfId="0" applyFont="1" applyFill="1" applyBorder="1" applyAlignment="1">
      <alignment horizontal="center"/>
    </xf>
    <xf numFmtId="0" fontId="0" fillId="0" borderId="0" xfId="0" applyAlignment="1">
      <alignment horizontal="center" vertical="center"/>
    </xf>
    <xf numFmtId="0" fontId="1" fillId="14" borderId="0" xfId="0" applyFont="1" applyFill="1" applyBorder="1" applyAlignment="1">
      <alignment horizontal="center"/>
    </xf>
    <xf numFmtId="0" fontId="0" fillId="0" borderId="6" xfId="0" applyBorder="1" applyAlignment="1">
      <alignment horizontal="left" vertical="top"/>
    </xf>
    <xf numFmtId="0" fontId="0" fillId="0" borderId="0" xfId="0" applyAlignment="1">
      <alignment horizontal="center" vertical="center"/>
    </xf>
    <xf numFmtId="0" fontId="10" fillId="0" borderId="2"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9" xfId="0" applyFont="1" applyBorder="1" applyAlignment="1">
      <alignment horizontal="center" vertical="center" wrapText="1"/>
    </xf>
    <xf numFmtId="0" fontId="12" fillId="7" borderId="8" xfId="5" applyFont="1" applyBorder="1" applyAlignment="1">
      <alignment horizontal="center" vertical="center"/>
    </xf>
    <xf numFmtId="0" fontId="13" fillId="8" borderId="8" xfId="6" applyFont="1" applyBorder="1" applyAlignment="1">
      <alignment horizontal="center" vertical="center"/>
    </xf>
    <xf numFmtId="0" fontId="12" fillId="4" borderId="8" xfId="3" applyFont="1" applyBorder="1" applyAlignment="1">
      <alignment horizontal="center" vertical="center"/>
    </xf>
    <xf numFmtId="0" fontId="13" fillId="9" borderId="8" xfId="7" applyFont="1" applyBorder="1" applyAlignment="1">
      <alignment horizontal="center" vertical="center"/>
    </xf>
    <xf numFmtId="0" fontId="13" fillId="10" borderId="8" xfId="8" applyFont="1" applyBorder="1" applyAlignment="1">
      <alignment horizontal="center" vertical="center"/>
    </xf>
    <xf numFmtId="0" fontId="12" fillId="12" borderId="8" xfId="10" applyFont="1" applyBorder="1" applyAlignment="1">
      <alignment horizontal="center" vertical="center"/>
    </xf>
    <xf numFmtId="0" fontId="13" fillId="11" borderId="8" xfId="9" applyFont="1" applyBorder="1" applyAlignment="1">
      <alignment horizontal="center" vertical="center"/>
    </xf>
    <xf numFmtId="0" fontId="1" fillId="14" borderId="0" xfId="0" applyFont="1" applyFill="1" applyBorder="1" applyAlignment="1">
      <alignment horizontal="right"/>
    </xf>
    <xf numFmtId="14" fontId="1" fillId="14" borderId="0" xfId="0" applyNumberFormat="1" applyFont="1" applyFill="1" applyBorder="1" applyAlignment="1">
      <alignment horizontal="center"/>
    </xf>
    <xf numFmtId="0" fontId="1" fillId="14" borderId="0" xfId="0" applyFont="1" applyFill="1" applyBorder="1" applyAlignment="1">
      <alignment horizontal="center"/>
    </xf>
    <xf numFmtId="0" fontId="4" fillId="14" borderId="0" xfId="0" applyFont="1" applyFill="1" applyBorder="1" applyAlignment="1">
      <alignment horizontal="center"/>
    </xf>
    <xf numFmtId="14" fontId="7" fillId="7" borderId="10" xfId="5" applyNumberFormat="1" applyBorder="1" applyAlignment="1">
      <alignment horizontal="center" vertical="center"/>
    </xf>
    <xf numFmtId="14" fontId="11" fillId="8" borderId="10" xfId="6" applyNumberFormat="1" applyFont="1" applyBorder="1" applyAlignment="1">
      <alignment horizontal="center" vertical="center"/>
    </xf>
    <xf numFmtId="14" fontId="7" fillId="4" borderId="10" xfId="3" applyNumberFormat="1" applyBorder="1" applyAlignment="1">
      <alignment horizontal="center" vertical="center"/>
    </xf>
    <xf numFmtId="14" fontId="11" fillId="9" borderId="10" xfId="7" applyNumberFormat="1" applyFont="1" applyBorder="1" applyAlignment="1">
      <alignment horizontal="center" vertical="center"/>
    </xf>
    <xf numFmtId="14" fontId="11" fillId="10" borderId="10" xfId="8" applyNumberFormat="1" applyFont="1" applyBorder="1" applyAlignment="1">
      <alignment horizontal="center" vertical="center"/>
    </xf>
    <xf numFmtId="14" fontId="7" fillId="12" borderId="10" xfId="10" applyNumberFormat="1" applyBorder="1" applyAlignment="1">
      <alignment horizontal="center" vertical="center"/>
    </xf>
    <xf numFmtId="14" fontId="11" fillId="11" borderId="10" xfId="9" applyNumberFormat="1" applyFont="1" applyBorder="1" applyAlignment="1">
      <alignment horizontal="center" vertical="center"/>
    </xf>
    <xf numFmtId="14" fontId="1" fillId="14" borderId="0" xfId="0" applyNumberFormat="1" applyFont="1" applyFill="1" applyBorder="1" applyAlignment="1"/>
    <xf numFmtId="0" fontId="0" fillId="14" borderId="0" xfId="0" applyFill="1" applyAlignment="1">
      <alignment horizontal="center"/>
    </xf>
    <xf numFmtId="164" fontId="1" fillId="14" borderId="0" xfId="0" applyNumberFormat="1" applyFont="1" applyFill="1" applyBorder="1" applyAlignment="1"/>
    <xf numFmtId="0" fontId="10" fillId="0" borderId="3" xfId="0" applyFont="1" applyBorder="1" applyAlignment="1">
      <alignment horizontal="center" vertical="center" wrapText="1"/>
    </xf>
    <xf numFmtId="0" fontId="2" fillId="14" borderId="0" xfId="0" applyFont="1" applyFill="1" applyAlignment="1">
      <alignment vertical="center"/>
    </xf>
    <xf numFmtId="0" fontId="0" fillId="14" borderId="0" xfId="0" applyFill="1" applyAlignment="1">
      <alignment horizontal="center" wrapText="1"/>
    </xf>
    <xf numFmtId="0" fontId="10" fillId="0" borderId="4" xfId="0" applyFont="1" applyBorder="1" applyAlignment="1">
      <alignment horizontal="center" vertical="center" wrapText="1"/>
    </xf>
    <xf numFmtId="0" fontId="10" fillId="0" borderId="6" xfId="0" applyFont="1" applyBorder="1" applyAlignment="1">
      <alignment horizontal="center" vertical="center" wrapText="1"/>
    </xf>
    <xf numFmtId="0" fontId="24" fillId="14" borderId="0" xfId="0" applyFont="1" applyFill="1" applyBorder="1" applyAlignment="1"/>
    <xf numFmtId="14" fontId="1" fillId="14" borderId="0" xfId="0" applyNumberFormat="1" applyFont="1" applyFill="1" applyBorder="1" applyAlignment="1">
      <alignment horizontal="right"/>
    </xf>
    <xf numFmtId="0" fontId="10" fillId="0" borderId="2" xfId="0" applyFont="1" applyBorder="1" applyAlignment="1">
      <alignment horizontal="center" vertical="center" wrapText="1"/>
    </xf>
    <xf numFmtId="0" fontId="18" fillId="13" borderId="3" xfId="0" applyFont="1" applyFill="1" applyBorder="1" applyAlignment="1">
      <alignment vertical="center"/>
    </xf>
    <xf numFmtId="0" fontId="10" fillId="0" borderId="2"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9" xfId="0" applyFont="1" applyBorder="1" applyAlignment="1">
      <alignment horizontal="center" vertical="center" wrapText="1"/>
    </xf>
    <xf numFmtId="0" fontId="12" fillId="7" borderId="8" xfId="5" applyFont="1" applyBorder="1" applyAlignment="1">
      <alignment horizontal="center" vertical="center"/>
    </xf>
    <xf numFmtId="0" fontId="13" fillId="8" borderId="8" xfId="6" applyFont="1" applyBorder="1" applyAlignment="1">
      <alignment horizontal="center" vertical="center"/>
    </xf>
    <xf numFmtId="0" fontId="12" fillId="4" borderId="8" xfId="3" applyFont="1" applyBorder="1" applyAlignment="1">
      <alignment horizontal="center" vertical="center"/>
    </xf>
    <xf numFmtId="0" fontId="13" fillId="9" borderId="8" xfId="7" applyFont="1" applyBorder="1" applyAlignment="1">
      <alignment horizontal="center" vertical="center"/>
    </xf>
    <xf numFmtId="0" fontId="13" fillId="10" borderId="8" xfId="8" applyFont="1" applyBorder="1" applyAlignment="1">
      <alignment horizontal="center" vertical="center"/>
    </xf>
    <xf numFmtId="0" fontId="12" fillId="12" borderId="8" xfId="10" applyFont="1" applyBorder="1" applyAlignment="1">
      <alignment horizontal="center" vertical="center"/>
    </xf>
    <xf numFmtId="0" fontId="13" fillId="11" borderId="8" xfId="9" applyFont="1" applyBorder="1" applyAlignment="1">
      <alignment horizontal="center" vertical="center"/>
    </xf>
    <xf numFmtId="0" fontId="0" fillId="0" borderId="6" xfId="0" applyBorder="1" applyAlignment="1">
      <alignment horizontal="left" vertical="top"/>
    </xf>
    <xf numFmtId="0" fontId="1" fillId="14" borderId="0" xfId="0" applyFont="1" applyFill="1" applyBorder="1" applyAlignment="1">
      <alignment horizontal="right"/>
    </xf>
    <xf numFmtId="14" fontId="1" fillId="14" borderId="0" xfId="0" applyNumberFormat="1" applyFont="1" applyFill="1" applyBorder="1" applyAlignment="1">
      <alignment horizontal="center"/>
    </xf>
    <xf numFmtId="0" fontId="1" fillId="14" borderId="0" xfId="0" applyFont="1" applyFill="1" applyBorder="1" applyAlignment="1">
      <alignment horizontal="center"/>
    </xf>
    <xf numFmtId="0" fontId="4" fillId="14" borderId="0" xfId="0" applyFont="1" applyFill="1" applyBorder="1" applyAlignment="1">
      <alignment horizontal="center"/>
    </xf>
    <xf numFmtId="14" fontId="7" fillId="7" borderId="10" xfId="5" applyNumberFormat="1" applyBorder="1" applyAlignment="1">
      <alignment horizontal="center" vertical="center"/>
    </xf>
    <xf numFmtId="14" fontId="11" fillId="8" borderId="10" xfId="6" applyNumberFormat="1" applyFont="1" applyBorder="1" applyAlignment="1">
      <alignment horizontal="center" vertical="center"/>
    </xf>
    <xf numFmtId="14" fontId="7" fillId="4" borderId="10" xfId="3" applyNumberFormat="1" applyBorder="1" applyAlignment="1">
      <alignment horizontal="center" vertical="center"/>
    </xf>
    <xf numFmtId="14" fontId="11" fillId="9" borderId="10" xfId="7" applyNumberFormat="1" applyFont="1" applyBorder="1" applyAlignment="1">
      <alignment horizontal="center" vertical="center"/>
    </xf>
    <xf numFmtId="14" fontId="11" fillId="10" borderId="10" xfId="8" applyNumberFormat="1" applyFont="1" applyBorder="1" applyAlignment="1">
      <alignment horizontal="center" vertical="center"/>
    </xf>
    <xf numFmtId="14" fontId="7" fillId="12" borderId="10" xfId="10" applyNumberFormat="1" applyBorder="1" applyAlignment="1">
      <alignment horizontal="center" vertical="center"/>
    </xf>
    <xf numFmtId="14" fontId="11" fillId="11" borderId="10" xfId="9" applyNumberFormat="1" applyFont="1" applyBorder="1" applyAlignment="1">
      <alignment horizontal="center" vertical="center"/>
    </xf>
    <xf numFmtId="0" fontId="0" fillId="0" borderId="0" xfId="0" applyAlignment="1">
      <alignment horizontal="center" vertical="center"/>
    </xf>
    <xf numFmtId="0" fontId="10" fillId="0" borderId="4" xfId="0" applyFont="1" applyBorder="1" applyAlignment="1">
      <alignment horizontal="center" vertical="center" wrapText="1"/>
    </xf>
    <xf numFmtId="0" fontId="10" fillId="0" borderId="6" xfId="0" applyFont="1" applyBorder="1" applyAlignment="1">
      <alignment horizontal="center" vertical="center" wrapText="1"/>
    </xf>
    <xf numFmtId="14" fontId="7" fillId="12" borderId="10" xfId="10" applyNumberFormat="1" applyBorder="1" applyAlignment="1">
      <alignment horizontal="center" vertical="center"/>
    </xf>
    <xf numFmtId="14" fontId="11" fillId="11" borderId="10" xfId="9" applyNumberFormat="1" applyFont="1" applyBorder="1" applyAlignment="1">
      <alignment horizontal="center" vertical="center"/>
    </xf>
    <xf numFmtId="0" fontId="1" fillId="14" borderId="0" xfId="0" applyFont="1" applyFill="1" applyBorder="1" applyAlignment="1">
      <alignment horizontal="center"/>
    </xf>
    <xf numFmtId="14" fontId="1" fillId="14" borderId="0" xfId="0" applyNumberFormat="1" applyFont="1" applyFill="1" applyBorder="1" applyAlignment="1">
      <alignment horizontal="center"/>
    </xf>
    <xf numFmtId="14" fontId="7" fillId="7" borderId="10" xfId="5" applyNumberFormat="1" applyBorder="1" applyAlignment="1">
      <alignment horizontal="center" vertical="center"/>
    </xf>
    <xf numFmtId="14" fontId="11" fillId="8" borderId="10" xfId="6" applyNumberFormat="1" applyFont="1" applyBorder="1" applyAlignment="1">
      <alignment horizontal="center" vertical="center"/>
    </xf>
    <xf numFmtId="14" fontId="7" fillId="4" borderId="10" xfId="3" applyNumberFormat="1" applyBorder="1" applyAlignment="1">
      <alignment horizontal="center" vertical="center"/>
    </xf>
    <xf numFmtId="14" fontId="11" fillId="9" borderId="10" xfId="7" applyNumberFormat="1" applyFont="1" applyBorder="1" applyAlignment="1">
      <alignment horizontal="center" vertical="center"/>
    </xf>
    <xf numFmtId="14" fontId="11" fillId="10" borderId="10" xfId="8" applyNumberFormat="1" applyFont="1" applyBorder="1" applyAlignment="1">
      <alignment horizontal="center" vertical="center"/>
    </xf>
    <xf numFmtId="0" fontId="13" fillId="11" borderId="8" xfId="9" applyFont="1" applyBorder="1" applyAlignment="1">
      <alignment horizontal="center" vertical="center"/>
    </xf>
    <xf numFmtId="0" fontId="1" fillId="14" borderId="0" xfId="0" applyFont="1" applyFill="1" applyBorder="1" applyAlignment="1">
      <alignment horizontal="right"/>
    </xf>
    <xf numFmtId="0" fontId="4" fillId="14" borderId="0" xfId="0" applyFont="1" applyFill="1" applyBorder="1" applyAlignment="1">
      <alignment horizontal="center"/>
    </xf>
    <xf numFmtId="0" fontId="12" fillId="7" borderId="8" xfId="5" applyFont="1" applyBorder="1" applyAlignment="1">
      <alignment horizontal="center" vertical="center"/>
    </xf>
    <xf numFmtId="0" fontId="13" fillId="8" borderId="8" xfId="6" applyFont="1" applyBorder="1" applyAlignment="1">
      <alignment horizontal="center" vertical="center"/>
    </xf>
    <xf numFmtId="0" fontId="12" fillId="4" borderId="8" xfId="3" applyFont="1" applyBorder="1" applyAlignment="1">
      <alignment horizontal="center" vertical="center"/>
    </xf>
    <xf numFmtId="0" fontId="13" fillId="9" borderId="8" xfId="7" applyFont="1" applyBorder="1" applyAlignment="1">
      <alignment horizontal="center" vertical="center"/>
    </xf>
    <xf numFmtId="0" fontId="13" fillId="10" borderId="8" xfId="8" applyFont="1" applyBorder="1" applyAlignment="1">
      <alignment horizontal="center" vertical="center"/>
    </xf>
    <xf numFmtId="0" fontId="12" fillId="12" borderId="8" xfId="10" applyFont="1" applyBorder="1" applyAlignment="1">
      <alignment horizontal="center" vertical="center"/>
    </xf>
    <xf numFmtId="0" fontId="0" fillId="0" borderId="0" xfId="0" applyAlignment="1">
      <alignment horizontal="center" vertical="center"/>
    </xf>
    <xf numFmtId="0" fontId="10" fillId="0" borderId="2" xfId="0" applyFont="1" applyBorder="1" applyAlignment="1">
      <alignment horizontal="center" vertical="center" wrapText="1"/>
    </xf>
    <xf numFmtId="0" fontId="33" fillId="0" borderId="0" xfId="0" applyFont="1" applyAlignment="1">
      <alignment horizontal="center"/>
    </xf>
    <xf numFmtId="0" fontId="6" fillId="15" borderId="15" xfId="0" applyFont="1" applyFill="1" applyBorder="1"/>
    <xf numFmtId="0" fontId="6" fillId="15" borderId="16" xfId="0" applyFont="1" applyFill="1" applyBorder="1"/>
    <xf numFmtId="0" fontId="1" fillId="14" borderId="0" xfId="0" applyFont="1" applyFill="1" applyBorder="1" applyAlignment="1">
      <alignment horizontal="center"/>
    </xf>
    <xf numFmtId="0" fontId="6" fillId="0" borderId="3" xfId="0" applyFont="1" applyBorder="1" applyAlignment="1">
      <alignment horizontal="center" vertical="center"/>
    </xf>
    <xf numFmtId="0" fontId="0" fillId="0" borderId="7" xfId="0" applyBorder="1" applyAlignment="1">
      <alignment horizontal="left"/>
    </xf>
    <xf numFmtId="0" fontId="0" fillId="0" borderId="8" xfId="0" applyBorder="1" applyAlignment="1">
      <alignment horizontal="left"/>
    </xf>
    <xf numFmtId="0" fontId="0" fillId="0" borderId="3" xfId="0" applyBorder="1" applyAlignment="1" applyProtection="1">
      <alignment horizontal="center"/>
    </xf>
    <xf numFmtId="0" fontId="32" fillId="13" borderId="0" xfId="12" applyNumberFormat="1" applyFont="1" applyFill="1" applyBorder="1" applyAlignment="1" applyProtection="1">
      <alignment horizontal="center"/>
    </xf>
    <xf numFmtId="0" fontId="0" fillId="13" borderId="0" xfId="0" applyFill="1" applyBorder="1" applyAlignment="1">
      <alignment horizontal="center" vertical="center"/>
    </xf>
    <xf numFmtId="0" fontId="34" fillId="13" borderId="0" xfId="0" applyFont="1" applyFill="1" applyBorder="1" applyAlignment="1" applyProtection="1"/>
    <xf numFmtId="0" fontId="10" fillId="0" borderId="18" xfId="0" applyFont="1" applyBorder="1" applyAlignment="1">
      <alignment horizontal="center" vertical="center" wrapText="1"/>
    </xf>
    <xf numFmtId="0" fontId="0" fillId="14" borderId="0" xfId="0" applyFill="1" applyBorder="1" applyAlignment="1">
      <alignment horizontal="center" vertical="center"/>
    </xf>
    <xf numFmtId="20" fontId="1" fillId="14" borderId="0" xfId="0" applyNumberFormat="1" applyFont="1" applyFill="1" applyBorder="1" applyAlignment="1">
      <alignment horizontal="center"/>
    </xf>
    <xf numFmtId="0" fontId="0" fillId="15" borderId="15" xfId="0" applyFont="1" applyFill="1" applyBorder="1" applyAlignment="1">
      <alignment horizontal="center"/>
    </xf>
    <xf numFmtId="0" fontId="0" fillId="0" borderId="15" xfId="0" applyFont="1" applyBorder="1" applyAlignment="1">
      <alignment horizontal="center"/>
    </xf>
    <xf numFmtId="0" fontId="33" fillId="15" borderId="15" xfId="0" applyFont="1" applyFill="1" applyBorder="1" applyAlignment="1">
      <alignment horizontal="center"/>
    </xf>
    <xf numFmtId="0" fontId="33" fillId="0" borderId="15" xfId="0" applyFont="1" applyBorder="1" applyAlignment="1">
      <alignment horizontal="center"/>
    </xf>
    <xf numFmtId="0" fontId="0" fillId="15" borderId="19" xfId="0" applyFont="1" applyFill="1" applyBorder="1" applyAlignment="1">
      <alignment horizontal="center"/>
    </xf>
    <xf numFmtId="0" fontId="0" fillId="0" borderId="16" xfId="0" applyFont="1" applyBorder="1" applyAlignment="1">
      <alignment horizontal="center"/>
    </xf>
    <xf numFmtId="2" fontId="39" fillId="18" borderId="3" xfId="13" applyNumberFormat="1" applyBorder="1" applyAlignment="1" applyProtection="1">
      <alignment horizontal="center"/>
    </xf>
    <xf numFmtId="0" fontId="0" fillId="0" borderId="10" xfId="0" applyBorder="1" applyAlignment="1">
      <alignment horizontal="center" vertical="top"/>
    </xf>
    <xf numFmtId="0" fontId="0" fillId="0" borderId="0" xfId="0" applyBorder="1" applyAlignment="1">
      <alignment horizontal="left" vertical="top"/>
    </xf>
    <xf numFmtId="0" fontId="6" fillId="0" borderId="0" xfId="0" applyFont="1" applyBorder="1" applyAlignment="1">
      <alignment horizontal="center" vertical="center"/>
    </xf>
    <xf numFmtId="0" fontId="10" fillId="0" borderId="0" xfId="0" applyFont="1" applyBorder="1" applyAlignment="1">
      <alignment horizontal="center" vertical="center" wrapText="1"/>
    </xf>
    <xf numFmtId="20" fontId="4" fillId="14" borderId="0" xfId="0" applyNumberFormat="1" applyFont="1" applyFill="1" applyBorder="1" applyAlignment="1">
      <alignment horizontal="center"/>
    </xf>
    <xf numFmtId="0" fontId="34" fillId="14" borderId="0" xfId="0" applyFont="1" applyFill="1" applyBorder="1" applyAlignment="1" applyProtection="1"/>
    <xf numFmtId="0" fontId="34" fillId="14" borderId="0" xfId="0" applyFont="1" applyFill="1" applyBorder="1" applyAlignment="1" applyProtection="1">
      <alignment horizontal="left" vertical="center"/>
    </xf>
    <xf numFmtId="0" fontId="40" fillId="14" borderId="0" xfId="0" applyFont="1" applyFill="1" applyBorder="1" applyAlignment="1" applyProtection="1">
      <alignment horizontal="right" vertical="center"/>
    </xf>
    <xf numFmtId="0" fontId="34" fillId="14" borderId="0" xfId="0" applyFont="1" applyFill="1" applyBorder="1" applyAlignment="1" applyProtection="1">
      <alignment horizontal="right"/>
    </xf>
    <xf numFmtId="20" fontId="41" fillId="14" borderId="0" xfId="0" applyNumberFormat="1" applyFont="1" applyFill="1" applyBorder="1" applyAlignment="1">
      <alignment horizontal="center"/>
    </xf>
    <xf numFmtId="20" fontId="42" fillId="14" borderId="0" xfId="0" applyNumberFormat="1" applyFont="1" applyFill="1" applyBorder="1" applyAlignment="1">
      <alignment horizontal="center"/>
    </xf>
    <xf numFmtId="0" fontId="0" fillId="0" borderId="3" xfId="0" applyBorder="1" applyAlignment="1" applyProtection="1">
      <alignment horizontal="center" vertical="center" wrapText="1"/>
      <protection locked="0"/>
    </xf>
    <xf numFmtId="0" fontId="44" fillId="19" borderId="6" xfId="0" applyFont="1" applyFill="1" applyBorder="1" applyAlignment="1" applyProtection="1">
      <alignment horizontal="center" vertical="center" wrapText="1"/>
    </xf>
    <xf numFmtId="0" fontId="4" fillId="14" borderId="0" xfId="0" applyFont="1" applyFill="1" applyBorder="1" applyAlignment="1">
      <alignment horizontal="right" vertical="center"/>
    </xf>
    <xf numFmtId="0" fontId="0" fillId="0" borderId="0" xfId="0" applyAlignment="1">
      <alignment horizontal="right" vertical="center"/>
    </xf>
    <xf numFmtId="0" fontId="6" fillId="0" borderId="0" xfId="0" applyFont="1" applyAlignment="1">
      <alignment horizontal="center"/>
    </xf>
    <xf numFmtId="0" fontId="43" fillId="13" borderId="3" xfId="0" applyNumberFormat="1" applyFont="1" applyFill="1" applyBorder="1" applyAlignment="1" applyProtection="1">
      <alignment horizontal="right" vertical="center"/>
    </xf>
    <xf numFmtId="0" fontId="47" fillId="0" borderId="3" xfId="0" applyFont="1" applyBorder="1" applyAlignment="1" applyProtection="1">
      <alignment horizontal="center" vertical="center"/>
    </xf>
    <xf numFmtId="0" fontId="48" fillId="0" borderId="0" xfId="0" applyFont="1" applyAlignment="1">
      <alignment horizontal="center" vertical="center"/>
    </xf>
    <xf numFmtId="0" fontId="0" fillId="0" borderId="0" xfId="0" applyFill="1" applyBorder="1" applyAlignment="1" applyProtection="1">
      <alignment horizontal="right" vertical="center"/>
    </xf>
    <xf numFmtId="0" fontId="32" fillId="0" borderId="0" xfId="12" applyNumberFormat="1" applyFont="1" applyFill="1" applyBorder="1" applyAlignment="1" applyProtection="1">
      <alignment horizontal="center"/>
    </xf>
    <xf numFmtId="0" fontId="4" fillId="0" borderId="0" xfId="0" applyFont="1" applyFill="1" applyBorder="1" applyAlignment="1">
      <alignment horizontal="center"/>
    </xf>
    <xf numFmtId="0" fontId="4" fillId="14" borderId="0" xfId="0" applyFont="1" applyFill="1" applyBorder="1" applyAlignment="1">
      <alignment horizontal="center"/>
    </xf>
    <xf numFmtId="0" fontId="0" fillId="0" borderId="3" xfId="0" applyBorder="1" applyAlignment="1">
      <alignment vertical="center"/>
    </xf>
    <xf numFmtId="0" fontId="49" fillId="13" borderId="3" xfId="0" applyFont="1" applyFill="1" applyBorder="1" applyAlignment="1">
      <alignment horizontal="center" vertical="center"/>
    </xf>
    <xf numFmtId="0" fontId="18" fillId="13" borderId="3" xfId="0" applyFont="1" applyFill="1" applyBorder="1" applyAlignment="1">
      <alignment horizontal="left" vertical="center"/>
    </xf>
    <xf numFmtId="0" fontId="0" fillId="0" borderId="3" xfId="0" applyFill="1" applyBorder="1" applyAlignment="1" applyProtection="1">
      <alignment horizontal="center" vertical="center"/>
    </xf>
    <xf numFmtId="9" fontId="46" fillId="13" borderId="3" xfId="12" applyFont="1" applyFill="1" applyBorder="1" applyAlignment="1" applyProtection="1">
      <alignment horizontal="center" vertical="center"/>
    </xf>
    <xf numFmtId="164" fontId="34" fillId="14" borderId="0" xfId="0" applyNumberFormat="1" applyFont="1" applyFill="1" applyBorder="1" applyAlignment="1" applyProtection="1">
      <alignment horizontal="right"/>
    </xf>
    <xf numFmtId="0" fontId="0" fillId="0" borderId="9" xfId="0" applyBorder="1" applyAlignment="1">
      <alignment horizontal="left" vertical="center"/>
    </xf>
    <xf numFmtId="0" fontId="6" fillId="0" borderId="4" xfId="0" applyFont="1" applyBorder="1" applyAlignment="1">
      <alignment horizontal="center" vertical="center"/>
    </xf>
    <xf numFmtId="0" fontId="12" fillId="7" borderId="8" xfId="5" applyFont="1" applyBorder="1" applyAlignment="1">
      <alignment horizontal="center" vertical="center"/>
    </xf>
    <xf numFmtId="0" fontId="13" fillId="8" borderId="8" xfId="6" applyFont="1" applyBorder="1" applyAlignment="1">
      <alignment horizontal="center" vertical="center"/>
    </xf>
    <xf numFmtId="0" fontId="12" fillId="4" borderId="8" xfId="3" applyFont="1" applyBorder="1" applyAlignment="1">
      <alignment horizontal="center" vertical="center"/>
    </xf>
    <xf numFmtId="0" fontId="13" fillId="9" borderId="8" xfId="7" applyFont="1" applyBorder="1" applyAlignment="1">
      <alignment horizontal="center" vertical="center"/>
    </xf>
    <xf numFmtId="0" fontId="13" fillId="10" borderId="8" xfId="8" applyFont="1" applyBorder="1" applyAlignment="1">
      <alignment horizontal="center" vertical="center"/>
    </xf>
    <xf numFmtId="0" fontId="12" fillId="12" borderId="8" xfId="10" applyFont="1" applyBorder="1" applyAlignment="1">
      <alignment horizontal="center" vertical="center"/>
    </xf>
    <xf numFmtId="0" fontId="13" fillId="11" borderId="8" xfId="9" applyFont="1" applyBorder="1" applyAlignment="1">
      <alignment horizontal="center" vertical="center"/>
    </xf>
    <xf numFmtId="0" fontId="1" fillId="14" borderId="0" xfId="0" applyFont="1" applyFill="1" applyBorder="1" applyAlignment="1">
      <alignment horizontal="right"/>
    </xf>
    <xf numFmtId="14" fontId="1" fillId="14" borderId="0" xfId="0" applyNumberFormat="1" applyFont="1" applyFill="1" applyBorder="1" applyAlignment="1">
      <alignment horizontal="center"/>
    </xf>
    <xf numFmtId="0" fontId="1" fillId="14" borderId="0" xfId="0" applyFont="1" applyFill="1" applyBorder="1" applyAlignment="1">
      <alignment horizontal="center"/>
    </xf>
    <xf numFmtId="0" fontId="4" fillId="14" borderId="0" xfId="0" applyFont="1" applyFill="1" applyBorder="1" applyAlignment="1">
      <alignment horizontal="center"/>
    </xf>
    <xf numFmtId="14" fontId="7" fillId="7" borderId="10" xfId="5" applyNumberFormat="1" applyBorder="1" applyAlignment="1">
      <alignment horizontal="center" vertical="center"/>
    </xf>
    <xf numFmtId="14" fontId="11" fillId="8" borderId="10" xfId="6" applyNumberFormat="1" applyFont="1" applyBorder="1" applyAlignment="1">
      <alignment horizontal="center" vertical="center"/>
    </xf>
    <xf numFmtId="14" fontId="7" fillId="4" borderId="10" xfId="3" applyNumberFormat="1" applyBorder="1" applyAlignment="1">
      <alignment horizontal="center" vertical="center"/>
    </xf>
    <xf numFmtId="14" fontId="11" fillId="9" borderId="10" xfId="7" applyNumberFormat="1" applyFont="1" applyBorder="1" applyAlignment="1">
      <alignment horizontal="center" vertical="center"/>
    </xf>
    <xf numFmtId="14" fontId="11" fillId="10" borderId="10" xfId="8" applyNumberFormat="1" applyFont="1" applyBorder="1" applyAlignment="1">
      <alignment horizontal="center" vertical="center"/>
    </xf>
    <xf numFmtId="14" fontId="7" fillId="12" borderId="10" xfId="10" applyNumberFormat="1" applyBorder="1" applyAlignment="1">
      <alignment horizontal="center" vertical="center"/>
    </xf>
    <xf numFmtId="14" fontId="11" fillId="11" borderId="10" xfId="9" applyNumberFormat="1" applyFont="1" applyBorder="1" applyAlignment="1">
      <alignment horizontal="center" vertical="center"/>
    </xf>
    <xf numFmtId="0" fontId="0" fillId="0" borderId="0" xfId="0" applyAlignment="1">
      <alignment horizontal="center" vertical="center"/>
    </xf>
    <xf numFmtId="0" fontId="0" fillId="0" borderId="7" xfId="0" applyBorder="1" applyAlignment="1">
      <alignment horizontal="left"/>
    </xf>
    <xf numFmtId="0" fontId="0" fillId="0" borderId="8" xfId="0" applyBorder="1" applyAlignment="1">
      <alignment horizontal="left"/>
    </xf>
    <xf numFmtId="0" fontId="10" fillId="0" borderId="4" xfId="0" applyFont="1" applyBorder="1" applyAlignment="1">
      <alignment horizontal="center" vertical="center" wrapText="1"/>
    </xf>
    <xf numFmtId="0" fontId="6" fillId="0" borderId="3" xfId="0" applyFont="1" applyBorder="1" applyAlignment="1">
      <alignment horizontal="center" vertical="center"/>
    </xf>
    <xf numFmtId="0" fontId="38" fillId="0" borderId="0" xfId="0" applyFont="1" applyAlignment="1">
      <alignment horizontal="right" vertical="center"/>
    </xf>
    <xf numFmtId="14" fontId="7" fillId="12" borderId="10" xfId="10" applyNumberFormat="1" applyBorder="1" applyAlignment="1">
      <alignment horizontal="center" vertical="center"/>
    </xf>
    <xf numFmtId="14" fontId="11" fillId="11" borderId="10" xfId="9" applyNumberFormat="1" applyFont="1" applyBorder="1" applyAlignment="1">
      <alignment horizontal="center" vertical="center"/>
    </xf>
    <xf numFmtId="0" fontId="1" fillId="14" borderId="0" xfId="0" applyFont="1" applyFill="1" applyBorder="1" applyAlignment="1">
      <alignment horizontal="center"/>
    </xf>
    <xf numFmtId="14" fontId="1" fillId="14" borderId="0" xfId="0" applyNumberFormat="1" applyFont="1" applyFill="1" applyBorder="1" applyAlignment="1">
      <alignment horizontal="center"/>
    </xf>
    <xf numFmtId="14" fontId="7" fillId="7" borderId="10" xfId="5" applyNumberFormat="1" applyBorder="1" applyAlignment="1">
      <alignment horizontal="center" vertical="center"/>
    </xf>
    <xf numFmtId="14" fontId="11" fillId="8" borderId="10" xfId="6" applyNumberFormat="1" applyFont="1" applyBorder="1" applyAlignment="1">
      <alignment horizontal="center" vertical="center"/>
    </xf>
    <xf numFmtId="14" fontId="7" fillId="4" borderId="10" xfId="3" applyNumberFormat="1" applyBorder="1" applyAlignment="1">
      <alignment horizontal="center" vertical="center"/>
    </xf>
    <xf numFmtId="14" fontId="11" fillId="9" borderId="10" xfId="7" applyNumberFormat="1" applyFont="1" applyBorder="1" applyAlignment="1">
      <alignment horizontal="center" vertical="center"/>
    </xf>
    <xf numFmtId="14" fontId="11" fillId="10" borderId="10" xfId="8" applyNumberFormat="1" applyFont="1" applyBorder="1" applyAlignment="1">
      <alignment horizontal="center" vertical="center"/>
    </xf>
    <xf numFmtId="0" fontId="13" fillId="11" borderId="8" xfId="9" applyFont="1" applyBorder="1" applyAlignment="1">
      <alignment horizontal="center" vertical="center"/>
    </xf>
    <xf numFmtId="0" fontId="6" fillId="0" borderId="4" xfId="0" applyFont="1" applyBorder="1" applyAlignment="1">
      <alignment horizontal="center" vertical="center"/>
    </xf>
    <xf numFmtId="0" fontId="1" fillId="14" borderId="0" xfId="0" applyFont="1" applyFill="1" applyBorder="1" applyAlignment="1">
      <alignment horizontal="right"/>
    </xf>
    <xf numFmtId="0" fontId="4" fillId="14" borderId="0" xfId="0" applyFont="1" applyFill="1" applyBorder="1" applyAlignment="1">
      <alignment horizontal="center"/>
    </xf>
    <xf numFmtId="0" fontId="12" fillId="7" borderId="8" xfId="5" applyFont="1" applyBorder="1" applyAlignment="1">
      <alignment horizontal="center" vertical="center"/>
    </xf>
    <xf numFmtId="0" fontId="13" fillId="8" borderId="8" xfId="6" applyFont="1" applyBorder="1" applyAlignment="1">
      <alignment horizontal="center" vertical="center"/>
    </xf>
    <xf numFmtId="0" fontId="12" fillId="4" borderId="8" xfId="3" applyFont="1" applyBorder="1" applyAlignment="1">
      <alignment horizontal="center" vertical="center"/>
    </xf>
    <xf numFmtId="0" fontId="13" fillId="9" borderId="8" xfId="7" applyFont="1" applyBorder="1" applyAlignment="1">
      <alignment horizontal="center" vertical="center"/>
    </xf>
    <xf numFmtId="0" fontId="13" fillId="10" borderId="8" xfId="8" applyFont="1" applyBorder="1" applyAlignment="1">
      <alignment horizontal="center" vertical="center"/>
    </xf>
    <xf numFmtId="0" fontId="12" fillId="12" borderId="8" xfId="10" applyFont="1" applyBorder="1" applyAlignment="1">
      <alignment horizontal="center" vertical="center"/>
    </xf>
    <xf numFmtId="0" fontId="0" fillId="0" borderId="0" xfId="0" applyAlignment="1">
      <alignment horizontal="center" vertical="center"/>
    </xf>
    <xf numFmtId="0" fontId="0" fillId="0" borderId="7" xfId="0" applyBorder="1" applyAlignment="1">
      <alignment horizontal="left"/>
    </xf>
    <xf numFmtId="0" fontId="0" fillId="0" borderId="8" xfId="0" applyBorder="1" applyAlignment="1">
      <alignment horizontal="left"/>
    </xf>
    <xf numFmtId="0" fontId="10" fillId="0" borderId="4" xfId="0" applyFont="1" applyBorder="1" applyAlignment="1">
      <alignment horizontal="center" vertical="center" wrapText="1"/>
    </xf>
    <xf numFmtId="0" fontId="38" fillId="0" borderId="0" xfId="0" applyFont="1" applyAlignment="1">
      <alignment horizontal="right" vertical="center"/>
    </xf>
    <xf numFmtId="0" fontId="6" fillId="0" borderId="3" xfId="0" applyFont="1" applyBorder="1" applyAlignment="1">
      <alignment horizontal="center" vertical="center"/>
    </xf>
    <xf numFmtId="0" fontId="38" fillId="0" borderId="0" xfId="0" applyFont="1" applyAlignment="1">
      <alignment horizontal="right" vertical="center"/>
    </xf>
    <xf numFmtId="2" fontId="10" fillId="0" borderId="3" xfId="0" applyNumberFormat="1" applyFont="1" applyBorder="1" applyAlignment="1">
      <alignment horizontal="center" vertical="center" wrapText="1"/>
    </xf>
    <xf numFmtId="0" fontId="38" fillId="0" borderId="0" xfId="0" applyFont="1" applyAlignment="1">
      <alignment horizontal="right" vertical="center"/>
    </xf>
    <xf numFmtId="2" fontId="52" fillId="0" borderId="1" xfId="12" applyNumberFormat="1" applyFont="1" applyBorder="1" applyAlignment="1">
      <alignment vertical="center"/>
    </xf>
    <xf numFmtId="0" fontId="54" fillId="0" borderId="3" xfId="0" applyFont="1" applyBorder="1" applyAlignment="1" applyProtection="1">
      <alignment horizontal="center" vertical="center" wrapText="1"/>
    </xf>
    <xf numFmtId="0" fontId="54" fillId="0" borderId="3" xfId="0" applyFont="1" applyBorder="1" applyAlignment="1" applyProtection="1">
      <alignment horizontal="center" vertical="center" wrapText="1"/>
    </xf>
    <xf numFmtId="0" fontId="9" fillId="6" borderId="0" xfId="4" applyFont="1" applyFill="1" applyAlignment="1">
      <alignment horizontal="center" vertical="center"/>
    </xf>
    <xf numFmtId="0" fontId="30" fillId="6" borderId="0" xfId="4" applyFont="1" applyFill="1" applyAlignment="1">
      <alignment horizontal="center" vertical="center" wrapText="1"/>
    </xf>
    <xf numFmtId="0" fontId="30" fillId="6" borderId="12" xfId="4" applyFont="1" applyFill="1" applyBorder="1" applyAlignment="1">
      <alignment horizontal="center" vertical="center" wrapText="1"/>
    </xf>
    <xf numFmtId="0" fontId="31" fillId="6" borderId="0" xfId="2" applyFont="1" applyFill="1" applyAlignment="1">
      <alignment horizontal="left" vertical="center"/>
    </xf>
    <xf numFmtId="0" fontId="31" fillId="6" borderId="12" xfId="2" applyFont="1" applyFill="1" applyBorder="1" applyAlignment="1">
      <alignment horizontal="left" vertical="center"/>
    </xf>
    <xf numFmtId="0" fontId="18" fillId="13" borderId="2" xfId="0" applyFont="1" applyFill="1" applyBorder="1" applyAlignment="1">
      <alignment vertical="center"/>
    </xf>
    <xf numFmtId="0" fontId="18" fillId="13" borderId="1" xfId="0" applyFont="1" applyFill="1" applyBorder="1" applyAlignment="1">
      <alignment vertical="center"/>
    </xf>
    <xf numFmtId="14" fontId="7" fillId="12" borderId="9" xfId="10" applyNumberFormat="1" applyBorder="1" applyAlignment="1">
      <alignment horizontal="center" vertical="center"/>
    </xf>
    <xf numFmtId="14" fontId="7" fillId="12" borderId="10" xfId="10" applyNumberFormat="1" applyBorder="1" applyAlignment="1">
      <alignment horizontal="center" vertical="center"/>
    </xf>
    <xf numFmtId="14" fontId="11" fillId="11" borderId="9" xfId="9" applyNumberFormat="1" applyFont="1" applyBorder="1" applyAlignment="1">
      <alignment horizontal="center" vertical="center"/>
    </xf>
    <xf numFmtId="14" fontId="11" fillId="11" borderId="10" xfId="9" applyNumberFormat="1" applyFont="1" applyBorder="1" applyAlignment="1">
      <alignment horizontal="center" vertical="center"/>
    </xf>
    <xf numFmtId="0" fontId="10" fillId="0" borderId="2"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 fillId="14" borderId="0" xfId="0" applyFont="1" applyFill="1" applyBorder="1" applyAlignment="1">
      <alignment horizontal="center"/>
    </xf>
    <xf numFmtId="14" fontId="1" fillId="14" borderId="0" xfId="0" applyNumberFormat="1" applyFont="1" applyFill="1" applyBorder="1" applyAlignment="1">
      <alignment horizontal="center"/>
    </xf>
    <xf numFmtId="14" fontId="7" fillId="7" borderId="9" xfId="5" applyNumberFormat="1" applyBorder="1" applyAlignment="1">
      <alignment horizontal="center" vertical="center"/>
    </xf>
    <xf numFmtId="14" fontId="7" fillId="7" borderId="10" xfId="5" applyNumberFormat="1" applyBorder="1" applyAlignment="1">
      <alignment horizontal="center" vertical="center"/>
    </xf>
    <xf numFmtId="14" fontId="11" fillId="8" borderId="9" xfId="6" applyNumberFormat="1" applyFont="1" applyBorder="1" applyAlignment="1">
      <alignment horizontal="center" vertical="center"/>
    </xf>
    <xf numFmtId="14" fontId="11" fillId="8" borderId="10" xfId="6" applyNumberFormat="1" applyFont="1" applyBorder="1" applyAlignment="1">
      <alignment horizontal="center" vertical="center"/>
    </xf>
    <xf numFmtId="14" fontId="7" fillId="4" borderId="9" xfId="3" applyNumberFormat="1" applyBorder="1" applyAlignment="1">
      <alignment horizontal="center" vertical="center"/>
    </xf>
    <xf numFmtId="14" fontId="7" fillId="4" borderId="10" xfId="3" applyNumberFormat="1" applyBorder="1" applyAlignment="1">
      <alignment horizontal="center" vertical="center"/>
    </xf>
    <xf numFmtId="14" fontId="11" fillId="9" borderId="9" xfId="7" applyNumberFormat="1" applyFont="1" applyBorder="1" applyAlignment="1">
      <alignment horizontal="center" vertical="center"/>
    </xf>
    <xf numFmtId="14" fontId="11" fillId="9" borderId="10" xfId="7" applyNumberFormat="1" applyFont="1" applyBorder="1" applyAlignment="1">
      <alignment horizontal="center" vertical="center"/>
    </xf>
    <xf numFmtId="14" fontId="11" fillId="10" borderId="9" xfId="8" applyNumberFormat="1" applyFont="1" applyBorder="1" applyAlignment="1">
      <alignment horizontal="center" vertical="center"/>
    </xf>
    <xf numFmtId="14" fontId="11" fillId="10" borderId="10" xfId="8" applyNumberFormat="1" applyFont="1" applyBorder="1" applyAlignment="1">
      <alignment horizontal="center" vertical="center"/>
    </xf>
    <xf numFmtId="0" fontId="13" fillId="11" borderId="7" xfId="9" applyFont="1" applyBorder="1" applyAlignment="1">
      <alignment horizontal="center" vertical="center"/>
    </xf>
    <xf numFmtId="0" fontId="13" fillId="11" borderId="8" xfId="9" applyFont="1" applyBorder="1" applyAlignment="1">
      <alignment horizontal="center" vertical="center"/>
    </xf>
    <xf numFmtId="0" fontId="0" fillId="0" borderId="5" xfId="0" applyBorder="1" applyAlignment="1">
      <alignment horizontal="left" vertical="top"/>
    </xf>
    <xf numFmtId="0" fontId="0" fillId="0" borderId="6" xfId="0" applyBorder="1" applyAlignment="1">
      <alignment horizontal="left" vertical="top"/>
    </xf>
    <xf numFmtId="0" fontId="6" fillId="0" borderId="4" xfId="0" applyFont="1" applyBorder="1" applyAlignment="1">
      <alignment horizontal="center" vertical="center"/>
    </xf>
    <xf numFmtId="0" fontId="6" fillId="0" borderId="6" xfId="0" applyFont="1" applyBorder="1" applyAlignment="1">
      <alignment horizontal="center" vertical="center"/>
    </xf>
    <xf numFmtId="0" fontId="1" fillId="14" borderId="0" xfId="0" applyFont="1" applyFill="1" applyBorder="1" applyAlignment="1">
      <alignment horizontal="right"/>
    </xf>
    <xf numFmtId="0" fontId="4" fillId="14" borderId="0" xfId="0" applyFont="1" applyFill="1" applyBorder="1" applyAlignment="1">
      <alignment horizont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164" fontId="1" fillId="14" borderId="0" xfId="0" applyNumberFormat="1" applyFont="1" applyFill="1" applyBorder="1" applyAlignment="1">
      <alignment horizontal="left"/>
    </xf>
    <xf numFmtId="0" fontId="12" fillId="7" borderId="7" xfId="5" applyFont="1" applyBorder="1" applyAlignment="1">
      <alignment horizontal="center" vertical="center"/>
    </xf>
    <xf numFmtId="0" fontId="12" fillId="7" borderId="8" xfId="5" applyFont="1" applyBorder="1" applyAlignment="1">
      <alignment horizontal="center" vertical="center"/>
    </xf>
    <xf numFmtId="0" fontId="13" fillId="8" borderId="7" xfId="6" applyFont="1" applyBorder="1" applyAlignment="1">
      <alignment horizontal="center" vertical="center"/>
    </xf>
    <xf numFmtId="0" fontId="13" fillId="8" borderId="8" xfId="6" applyFont="1" applyBorder="1" applyAlignment="1">
      <alignment horizontal="center" vertical="center"/>
    </xf>
    <xf numFmtId="0" fontId="12" fillId="4" borderId="7" xfId="3" applyFont="1" applyBorder="1" applyAlignment="1">
      <alignment horizontal="center" vertical="center"/>
    </xf>
    <xf numFmtId="0" fontId="12" fillId="4" borderId="8" xfId="3" applyFont="1" applyBorder="1" applyAlignment="1">
      <alignment horizontal="center" vertical="center"/>
    </xf>
    <xf numFmtId="0" fontId="13" fillId="9" borderId="7" xfId="7" applyFont="1" applyBorder="1" applyAlignment="1">
      <alignment horizontal="center" vertical="center"/>
    </xf>
    <xf numFmtId="0" fontId="13" fillId="9" borderId="8" xfId="7" applyFont="1" applyBorder="1" applyAlignment="1">
      <alignment horizontal="center" vertical="center"/>
    </xf>
    <xf numFmtId="0" fontId="13" fillId="10" borderId="7" xfId="8" applyFont="1" applyBorder="1" applyAlignment="1">
      <alignment horizontal="center" vertical="center"/>
    </xf>
    <xf numFmtId="0" fontId="13" fillId="10" borderId="8" xfId="8" applyFont="1" applyBorder="1" applyAlignment="1">
      <alignment horizontal="center" vertical="center"/>
    </xf>
    <xf numFmtId="0" fontId="12" fillId="12" borderId="7" xfId="10" applyFont="1" applyBorder="1" applyAlignment="1">
      <alignment horizontal="center" vertical="center"/>
    </xf>
    <xf numFmtId="0" fontId="12" fillId="12" borderId="8" xfId="10" applyFont="1" applyBorder="1" applyAlignment="1">
      <alignment horizontal="center" vertical="center"/>
    </xf>
    <xf numFmtId="0" fontId="10" fillId="0" borderId="2" xfId="0" applyFont="1" applyBorder="1" applyAlignment="1">
      <alignment horizontal="center" vertical="center"/>
    </xf>
    <xf numFmtId="0" fontId="10" fillId="0" borderId="1" xfId="0" applyFont="1" applyBorder="1" applyAlignment="1">
      <alignment horizontal="center" vertical="center"/>
    </xf>
    <xf numFmtId="0" fontId="13" fillId="0" borderId="7" xfId="9" applyFont="1" applyFill="1" applyBorder="1" applyAlignment="1">
      <alignment horizontal="center" vertical="center"/>
    </xf>
    <xf numFmtId="0" fontId="13" fillId="0" borderId="8" xfId="9" applyFont="1" applyFill="1" applyBorder="1" applyAlignment="1">
      <alignment horizontal="center" vertical="center"/>
    </xf>
    <xf numFmtId="0" fontId="26" fillId="0" borderId="0" xfId="0" applyFont="1" applyBorder="1" applyAlignment="1">
      <alignment horizontal="left" vertical="center"/>
    </xf>
    <xf numFmtId="0" fontId="26" fillId="0" borderId="12" xfId="0" applyFont="1" applyBorder="1" applyAlignment="1">
      <alignment horizontal="left" vertical="center"/>
    </xf>
    <xf numFmtId="0" fontId="0" fillId="0" borderId="0" xfId="0" applyAlignment="1">
      <alignment horizontal="center" vertical="center"/>
    </xf>
    <xf numFmtId="0" fontId="0" fillId="0" borderId="12" xfId="0" applyBorder="1" applyAlignment="1" applyProtection="1">
      <alignment horizontal="left" vertical="center"/>
      <protection locked="0"/>
    </xf>
    <xf numFmtId="0" fontId="0" fillId="0" borderId="12" xfId="0" applyBorder="1" applyAlignment="1">
      <alignment horizontal="right" vertical="center"/>
    </xf>
    <xf numFmtId="0" fontId="12" fillId="0" borderId="4" xfId="5" applyFont="1" applyFill="1" applyBorder="1" applyAlignment="1">
      <alignment horizontal="center" vertical="center"/>
    </xf>
    <xf numFmtId="0" fontId="13" fillId="0" borderId="14" xfId="6" applyFont="1" applyFill="1" applyBorder="1" applyAlignment="1">
      <alignment horizontal="center" vertical="center"/>
    </xf>
    <xf numFmtId="0" fontId="13" fillId="0" borderId="8" xfId="6" applyFont="1" applyFill="1" applyBorder="1" applyAlignment="1">
      <alignment horizontal="center" vertical="center"/>
    </xf>
    <xf numFmtId="0" fontId="12" fillId="0" borderId="7" xfId="3" applyFont="1" applyFill="1" applyBorder="1" applyAlignment="1">
      <alignment horizontal="center" vertical="center"/>
    </xf>
    <xf numFmtId="0" fontId="12" fillId="0" borderId="8" xfId="3" applyFont="1" applyFill="1" applyBorder="1" applyAlignment="1">
      <alignment horizontal="center" vertical="center"/>
    </xf>
    <xf numFmtId="0" fontId="13" fillId="0" borderId="7" xfId="7" applyFont="1" applyFill="1" applyBorder="1" applyAlignment="1">
      <alignment horizontal="center" vertical="center"/>
    </xf>
    <xf numFmtId="0" fontId="13" fillId="0" borderId="8" xfId="7" applyFont="1" applyFill="1" applyBorder="1" applyAlignment="1">
      <alignment horizontal="center" vertical="center"/>
    </xf>
    <xf numFmtId="0" fontId="13" fillId="0" borderId="7" xfId="8" applyFont="1" applyFill="1" applyBorder="1" applyAlignment="1">
      <alignment horizontal="center" vertical="center"/>
    </xf>
    <xf numFmtId="0" fontId="13" fillId="0" borderId="8" xfId="8" applyFont="1" applyFill="1" applyBorder="1" applyAlignment="1">
      <alignment horizontal="center" vertical="center"/>
    </xf>
    <xf numFmtId="0" fontId="12" fillId="0" borderId="7" xfId="10" applyFont="1" applyFill="1" applyBorder="1" applyAlignment="1">
      <alignment horizontal="center" vertical="center"/>
    </xf>
    <xf numFmtId="0" fontId="12" fillId="0" borderId="8" xfId="10" applyFont="1" applyFill="1" applyBorder="1" applyAlignment="1">
      <alignment horizontal="center" vertical="center"/>
    </xf>
    <xf numFmtId="0" fontId="0" fillId="0" borderId="13" xfId="0" applyBorder="1" applyAlignment="1">
      <alignment horizontal="left" vertical="top"/>
    </xf>
    <xf numFmtId="0" fontId="0" fillId="0" borderId="17"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0" fillId="0" borderId="7" xfId="0" applyBorder="1" applyAlignment="1">
      <alignment horizontal="left"/>
    </xf>
    <xf numFmtId="0" fontId="0" fillId="0" borderId="8" xfId="0" applyBorder="1" applyAlignment="1">
      <alignment horizontal="left"/>
    </xf>
    <xf numFmtId="0" fontId="1" fillId="14" borderId="0" xfId="0" applyFont="1" applyFill="1" applyBorder="1" applyAlignment="1">
      <alignment horizontal="center" vertical="top"/>
    </xf>
    <xf numFmtId="0" fontId="24" fillId="14" borderId="0" xfId="0" applyFont="1" applyFill="1" applyBorder="1" applyAlignment="1">
      <alignment horizontal="center"/>
    </xf>
    <xf numFmtId="0" fontId="3" fillId="0" borderId="7" xfId="0" applyFont="1" applyBorder="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3" fillId="0" borderId="3" xfId="0" applyFont="1" applyBorder="1" applyAlignment="1">
      <alignment horizontal="center" vertical="center"/>
    </xf>
    <xf numFmtId="0" fontId="10" fillId="0" borderId="4" xfId="0" applyFont="1" applyBorder="1" applyAlignment="1">
      <alignment horizontal="center" vertical="center" wrapText="1"/>
    </xf>
    <xf numFmtId="0" fontId="10" fillId="0" borderId="6" xfId="0" applyFont="1" applyBorder="1" applyAlignment="1">
      <alignment horizontal="center" vertical="center" wrapText="1"/>
    </xf>
    <xf numFmtId="0" fontId="38" fillId="0" borderId="0" xfId="0" applyFont="1" applyAlignment="1">
      <alignment horizontal="right" vertical="center"/>
    </xf>
    <xf numFmtId="0" fontId="6" fillId="0" borderId="3" xfId="0" applyFont="1" applyBorder="1" applyAlignment="1">
      <alignment horizontal="center" vertical="center"/>
    </xf>
    <xf numFmtId="0" fontId="0" fillId="0" borderId="3" xfId="0" applyBorder="1" applyAlignment="1" applyProtection="1">
      <alignment horizontal="center" vertical="center"/>
    </xf>
    <xf numFmtId="2" fontId="25" fillId="0" borderId="3" xfId="0" applyNumberFormat="1" applyFont="1" applyBorder="1" applyAlignment="1" applyProtection="1">
      <alignment horizontal="center" vertical="center"/>
    </xf>
    <xf numFmtId="0" fontId="36" fillId="16" borderId="3" xfId="0" applyFont="1" applyFill="1" applyBorder="1" applyAlignment="1" applyProtection="1">
      <alignment horizontal="center" vertical="center" wrapText="1"/>
    </xf>
    <xf numFmtId="0" fontId="35" fillId="20" borderId="3" xfId="0" applyFont="1" applyFill="1" applyBorder="1" applyAlignment="1" applyProtection="1">
      <alignment horizontal="center" vertical="center"/>
    </xf>
    <xf numFmtId="0" fontId="37" fillId="17" borderId="3" xfId="0" applyFont="1" applyFill="1" applyBorder="1" applyAlignment="1" applyProtection="1">
      <alignment horizontal="center" vertical="center"/>
    </xf>
    <xf numFmtId="0" fontId="45" fillId="0" borderId="6" xfId="0" applyFont="1" applyBorder="1" applyAlignment="1">
      <alignment horizontal="center" vertical="center"/>
    </xf>
    <xf numFmtId="0" fontId="45" fillId="0" borderId="3" xfId="0" applyFont="1" applyBorder="1" applyAlignment="1">
      <alignment horizontal="center" vertical="center"/>
    </xf>
    <xf numFmtId="0" fontId="50" fillId="14" borderId="0" xfId="14" applyFill="1" applyBorder="1" applyAlignment="1" applyProtection="1">
      <alignment horizontal="left"/>
    </xf>
    <xf numFmtId="9" fontId="53" fillId="14" borderId="21" xfId="12" applyFont="1" applyFill="1" applyBorder="1" applyAlignment="1" applyProtection="1">
      <alignment horizontal="center" vertical="center"/>
    </xf>
    <xf numFmtId="9" fontId="53" fillId="14" borderId="22" xfId="12" applyFont="1" applyFill="1" applyBorder="1" applyAlignment="1" applyProtection="1">
      <alignment horizontal="center" vertical="center"/>
    </xf>
    <xf numFmtId="9" fontId="53" fillId="14" borderId="23" xfId="12" applyFont="1" applyFill="1" applyBorder="1" applyAlignment="1" applyProtection="1">
      <alignment horizontal="center" vertical="center"/>
    </xf>
    <xf numFmtId="9" fontId="53" fillId="14" borderId="24" xfId="12" applyFont="1" applyFill="1" applyBorder="1" applyAlignment="1" applyProtection="1">
      <alignment horizontal="center" vertical="center"/>
    </xf>
    <xf numFmtId="0" fontId="3" fillId="0" borderId="6" xfId="0" applyFont="1" applyBorder="1" applyAlignment="1">
      <alignment horizontal="center" vertical="center"/>
    </xf>
  </cellXfs>
  <cellStyles count="16">
    <cellStyle name="20% - Énfasis1" xfId="3" builtinId="30"/>
    <cellStyle name="20% - Énfasis6" xfId="10" builtinId="50"/>
    <cellStyle name="40% - Énfasis1" xfId="5" builtinId="31"/>
    <cellStyle name="40% - Énfasis2" xfId="4" builtinId="35"/>
    <cellStyle name="60% - Énfasis2" xfId="6" builtinId="36"/>
    <cellStyle name="60% - Énfasis4" xfId="7" builtinId="44"/>
    <cellStyle name="60% - Énfasis5" xfId="8" builtinId="48"/>
    <cellStyle name="BarraDeIngresosGastados" xfId="15" xr:uid="{035C7867-59B2-464F-8B6B-7AD636AE8456}"/>
    <cellStyle name="Bueno" xfId="13" builtinId="26"/>
    <cellStyle name="Énfasis1" xfId="2" builtinId="29"/>
    <cellStyle name="Énfasis6" xfId="9" builtinId="49"/>
    <cellStyle name="Hipervínculo" xfId="14" builtinId="8"/>
    <cellStyle name="Normal" xfId="0" builtinId="0"/>
    <cellStyle name="Normal 2" xfId="11" xr:uid="{00000000-0005-0000-0000-00000A000000}"/>
    <cellStyle name="Nota" xfId="1" builtinId="10"/>
    <cellStyle name="Porcentaje" xfId="12" builtinId="5"/>
  </cellStyles>
  <dxfs count="585">
    <dxf>
      <font>
        <color theme="4" tint="-0.499984740745262"/>
      </font>
      <fill>
        <patternFill>
          <bgColor theme="5" tint="0.59996337778862885"/>
        </patternFill>
      </fill>
    </dxf>
    <dxf>
      <font>
        <color rgb="FFC00000"/>
      </font>
      <fill>
        <patternFill>
          <bgColor rgb="FFFFFFCC"/>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4" tint="-0.499984740745262"/>
      </font>
      <fill>
        <patternFill>
          <bgColor theme="5" tint="0.59996337778862885"/>
        </patternFill>
      </fill>
    </dxf>
    <dxf>
      <font>
        <color rgb="FFC00000"/>
      </font>
      <fill>
        <patternFill>
          <bgColor rgb="FFFFFFCC"/>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4" tint="-0.499984740745262"/>
      </font>
      <fill>
        <patternFill>
          <bgColor theme="5" tint="0.59996337778862885"/>
        </patternFill>
      </fill>
    </dxf>
    <dxf>
      <font>
        <color rgb="FFC00000"/>
      </font>
      <fill>
        <patternFill>
          <bgColor rgb="FFFFFFCC"/>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4" tint="-0.499984740745262"/>
      </font>
      <fill>
        <patternFill>
          <bgColor theme="5" tint="0.59996337778862885"/>
        </patternFill>
      </fill>
    </dxf>
    <dxf>
      <font>
        <color rgb="FFC00000"/>
      </font>
      <fill>
        <patternFill>
          <bgColor rgb="FFFFFFCC"/>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4" tint="-0.499984740745262"/>
      </font>
      <fill>
        <patternFill>
          <bgColor theme="5" tint="0.59996337778862885"/>
        </patternFill>
      </fill>
    </dxf>
    <dxf>
      <font>
        <color rgb="FFC00000"/>
      </font>
      <fill>
        <patternFill>
          <bgColor rgb="FFFFFFCC"/>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4" tint="-0.499984740745262"/>
      </font>
      <fill>
        <patternFill>
          <bgColor theme="5" tint="0.59996337778862885"/>
        </patternFill>
      </fill>
    </dxf>
    <dxf>
      <font>
        <color rgb="FFC00000"/>
      </font>
      <fill>
        <patternFill>
          <bgColor rgb="FFFFFFCC"/>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4" tint="-0.499984740745262"/>
      </font>
      <fill>
        <patternFill>
          <bgColor theme="5" tint="0.59996337778862885"/>
        </patternFill>
      </fill>
    </dxf>
    <dxf>
      <font>
        <color rgb="FFC00000"/>
      </font>
      <fill>
        <patternFill>
          <bgColor rgb="FFFFFFCC"/>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4" tint="-0.499984740745262"/>
      </font>
      <fill>
        <patternFill>
          <bgColor theme="5" tint="0.59996337778862885"/>
        </patternFill>
      </fill>
    </dxf>
    <dxf>
      <font>
        <color rgb="FFC00000"/>
      </font>
      <fill>
        <patternFill>
          <bgColor rgb="FFFFFFCC"/>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4" tint="-0.499984740745262"/>
      </font>
      <fill>
        <patternFill>
          <bgColor theme="5" tint="0.59996337778862885"/>
        </patternFill>
      </fill>
    </dxf>
    <dxf>
      <font>
        <color rgb="FFC00000"/>
      </font>
      <fill>
        <patternFill>
          <bgColor rgb="FFFFFFCC"/>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4" tint="-0.499984740745262"/>
      </font>
      <fill>
        <patternFill>
          <bgColor theme="5" tint="0.59996337778862885"/>
        </patternFill>
      </fill>
    </dxf>
    <dxf>
      <font>
        <color rgb="FFC00000"/>
      </font>
      <fill>
        <patternFill>
          <bgColor rgb="FFFFFFCC"/>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4" tint="-0.499984740745262"/>
      </font>
      <fill>
        <patternFill>
          <bgColor theme="5" tint="0.59996337778862885"/>
        </patternFill>
      </fill>
    </dxf>
    <dxf>
      <font>
        <color rgb="FFC00000"/>
      </font>
      <fill>
        <patternFill>
          <bgColor rgb="FFFFFFCC"/>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4" tint="-0.499984740745262"/>
      </font>
      <fill>
        <patternFill>
          <bgColor theme="5" tint="0.59996337778862885"/>
        </patternFill>
      </fill>
    </dxf>
    <dxf>
      <font>
        <color rgb="FFC00000"/>
      </font>
      <fill>
        <patternFill>
          <bgColor rgb="FFFFFFCC"/>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4" tint="-0.499984740745262"/>
      </font>
      <fill>
        <patternFill>
          <bgColor theme="5" tint="0.59996337778862885"/>
        </patternFill>
      </fill>
    </dxf>
    <dxf>
      <font>
        <color rgb="FFC00000"/>
      </font>
      <fill>
        <patternFill>
          <bgColor rgb="FFFFFFCC"/>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4" tint="-0.499984740745262"/>
      </font>
      <fill>
        <patternFill>
          <bgColor theme="5" tint="0.59996337778862885"/>
        </patternFill>
      </fill>
    </dxf>
    <dxf>
      <font>
        <color rgb="FFC00000"/>
      </font>
      <fill>
        <patternFill>
          <bgColor rgb="FFFFFFCC"/>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4" tint="-0.499984740745262"/>
      </font>
      <fill>
        <patternFill>
          <bgColor theme="5" tint="0.59996337778862885"/>
        </patternFill>
      </fill>
    </dxf>
    <dxf>
      <font>
        <color rgb="FFC00000"/>
      </font>
      <fill>
        <patternFill>
          <bgColor rgb="FFFFFFCC"/>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border>
        <left style="thin">
          <color theme="0" tint="-0.499984740745262"/>
        </left>
        <right style="thin">
          <color theme="0" tint="-0.499984740745262"/>
        </right>
        <top style="thin">
          <color theme="0" tint="-0.499984740745262"/>
        </top>
        <bottom style="thin">
          <color theme="0" tint="-0.499984740745262"/>
        </bottom>
      </border>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fill>
        <patternFill>
          <bgColor rgb="FFFFF4FC"/>
        </patternFill>
      </fill>
      <border>
        <left style="thin">
          <color rgb="FF9C0006"/>
        </left>
        <right style="thin">
          <color rgb="FF9C0006"/>
        </right>
        <top style="thin">
          <color rgb="FF9C0006"/>
        </top>
        <bottom style="thin">
          <color rgb="FF9C0006"/>
        </bottom>
      </border>
    </dxf>
    <dxf>
      <font>
        <color rgb="FF9C0006"/>
      </font>
    </dxf>
    <dxf>
      <fill>
        <patternFill>
          <bgColor rgb="FFFFEBED"/>
        </patternFill>
      </fill>
    </dxf>
    <dxf>
      <fill>
        <patternFill>
          <bgColor rgb="FFFEF4FC"/>
        </patternFill>
      </fill>
      <border>
        <left style="thin">
          <color rgb="FF9C0006"/>
        </left>
        <right style="thin">
          <color rgb="FF9C0006"/>
        </right>
        <top style="thin">
          <color rgb="FF9C0006"/>
        </top>
        <bottom style="thin">
          <color rgb="FF9C0006"/>
        </bottom>
      </border>
    </dxf>
    <dxf>
      <font>
        <color rgb="FF9C0006"/>
      </font>
    </dxf>
    <dxf>
      <font>
        <b/>
        <i/>
        <color rgb="FFC00000"/>
      </font>
      <fill>
        <patternFill>
          <bgColor rgb="FFFFFFF7"/>
        </patternFill>
      </fill>
    </dxf>
    <dxf>
      <font>
        <b/>
        <i/>
        <color rgb="FFC00000"/>
      </font>
      <fill>
        <patternFill>
          <bgColor rgb="FFFFECEB"/>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b/>
        <i/>
        <color rgb="FFC00000"/>
      </font>
      <fill>
        <patternFill>
          <bgColor rgb="FFFFEFEF"/>
        </patternFill>
      </fill>
    </dxf>
    <dxf>
      <font>
        <b/>
        <i/>
        <color rgb="FFC00000"/>
      </font>
      <fill>
        <patternFill>
          <bgColor rgb="FFFFECEB"/>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fill>
        <patternFill>
          <bgColor rgb="FFFFF4FC"/>
        </patternFill>
      </fill>
      <border>
        <left style="thin">
          <color rgb="FF9C0006"/>
        </left>
        <right style="thin">
          <color rgb="FF9C0006"/>
        </right>
        <top style="thin">
          <color rgb="FF9C0006"/>
        </top>
        <bottom style="thin">
          <color rgb="FF9C0006"/>
        </bottom>
      </border>
    </dxf>
    <dxf>
      <font>
        <color rgb="FF9C0006"/>
      </font>
    </dxf>
    <dxf>
      <fill>
        <patternFill>
          <bgColor rgb="FFFFEBED"/>
        </patternFill>
      </fill>
    </dxf>
    <dxf>
      <fill>
        <patternFill>
          <bgColor rgb="FFFEF4FC"/>
        </patternFill>
      </fill>
      <border>
        <left style="thin">
          <color rgb="FF9C0006"/>
        </left>
        <right style="thin">
          <color rgb="FF9C0006"/>
        </right>
        <top style="thin">
          <color rgb="FF9C0006"/>
        </top>
        <bottom style="thin">
          <color rgb="FF9C0006"/>
        </bottom>
      </border>
    </dxf>
    <dxf>
      <font>
        <color rgb="FF9C0006"/>
      </font>
    </dxf>
    <dxf>
      <font>
        <color rgb="FF9C0006"/>
      </font>
      <fill>
        <patternFill>
          <bgColor rgb="FFFEF4E8"/>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theme="1"/>
        <name val="Palatino Linotype"/>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Palatino Linotype"/>
        <family val="2"/>
        <scheme val="minor"/>
      </font>
    </dxf>
    <dxf>
      <font>
        <b val="0"/>
        <i val="0"/>
        <strike val="0"/>
        <condense val="0"/>
        <extend val="0"/>
        <outline val="0"/>
        <shadow val="0"/>
        <u val="none"/>
        <vertAlign val="baseline"/>
        <sz val="10"/>
        <color theme="1"/>
        <name val="Palatino Linotype"/>
        <family val="2"/>
        <scheme val="minor"/>
      </font>
      <alignment horizontal="center" vertical="bottom" textRotation="0" wrapText="0" indent="0" justifyLastLine="0" shrinkToFit="0" readingOrder="0"/>
    </dxf>
    <dxf>
      <numFmt numFmtId="0" formatCode="General"/>
    </dxf>
    <dxf>
      <font>
        <strike val="0"/>
        <outline val="0"/>
        <shadow val="0"/>
        <vertAlign val="baseline"/>
        <sz val="10"/>
        <color theme="1"/>
      </font>
    </dxf>
    <dxf>
      <border diagonalUp="0" diagonalDown="0">
        <left style="thin">
          <color auto="1"/>
        </left>
        <right style="thin">
          <color auto="1"/>
        </right>
        <top style="thin">
          <color auto="1"/>
        </top>
        <bottom style="thin">
          <color auto="1"/>
        </bottom>
        <vertical/>
        <horizontal/>
      </border>
    </dxf>
    <dxf>
      <border outline="0">
        <bottom style="thin">
          <color auto="1"/>
        </bottom>
      </border>
    </dxf>
    <dxf>
      <font>
        <b/>
        <i/>
        <strike val="0"/>
        <condense val="0"/>
        <extend val="0"/>
        <outline val="0"/>
        <shadow val="0"/>
        <u/>
        <vertAlign val="baseline"/>
        <sz val="11"/>
        <color theme="1"/>
        <name val="Palatino Linotype"/>
        <scheme val="minor"/>
      </font>
    </dxf>
    <dxf>
      <font>
        <color rgb="FF9C0006"/>
      </font>
      <fill>
        <patternFill>
          <bgColor rgb="FFFEF4F0"/>
        </patternFill>
      </fill>
    </dxf>
  </dxfs>
  <tableStyles count="0" defaultTableStyle="TableStyleMedium2" defaultPivotStyle="PivotStyleLight16"/>
  <colors>
    <mruColors>
      <color rgb="FFFFFFCC"/>
      <color rgb="FFFFFFFD"/>
      <color rgb="FFFCFFEB"/>
      <color rgb="FFFFFFF7"/>
      <color rgb="FFFFFFC1"/>
      <color rgb="FFFFD4D1"/>
      <color rgb="FFEBF4F5"/>
      <color rgb="FFFF9999"/>
      <color rgb="FFFFECEB"/>
      <color rgb="FFFFE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 /><Relationship Id="rId13" Type="http://schemas.openxmlformats.org/officeDocument/2006/relationships/externalLink" Target="externalLinks/externalLink2.xml" /><Relationship Id="rId18" Type="http://schemas.openxmlformats.org/officeDocument/2006/relationships/calcChain" Target="calcChain.xml" /><Relationship Id="rId3" Type="http://schemas.openxmlformats.org/officeDocument/2006/relationships/worksheet" Target="worksheets/sheet3.xml" /><Relationship Id="rId7" Type="http://schemas.openxmlformats.org/officeDocument/2006/relationships/worksheet" Target="worksheets/sheet7.xml" /><Relationship Id="rId12" Type="http://schemas.openxmlformats.org/officeDocument/2006/relationships/externalLink" Target="externalLinks/externalLink1.xml" /><Relationship Id="rId17" Type="http://schemas.openxmlformats.org/officeDocument/2006/relationships/sharedStrings" Target="sharedStrings.xml" /><Relationship Id="rId2" Type="http://schemas.openxmlformats.org/officeDocument/2006/relationships/worksheet" Target="worksheets/sheet2.xml" /><Relationship Id="rId16" Type="http://schemas.openxmlformats.org/officeDocument/2006/relationships/styles" Target="styles.xml" /><Relationship Id="rId1" Type="http://schemas.openxmlformats.org/officeDocument/2006/relationships/worksheet" Target="worksheets/sheet1.xml" /><Relationship Id="rId6" Type="http://schemas.openxmlformats.org/officeDocument/2006/relationships/worksheet" Target="worksheets/sheet6.xml" /><Relationship Id="rId11" Type="http://schemas.openxmlformats.org/officeDocument/2006/relationships/worksheet" Target="worksheets/sheet11.xml" /><Relationship Id="rId5" Type="http://schemas.openxmlformats.org/officeDocument/2006/relationships/worksheet" Target="worksheets/sheet5.xml" /><Relationship Id="rId15" Type="http://schemas.openxmlformats.org/officeDocument/2006/relationships/theme" Target="theme/theme1.xml" /><Relationship Id="rId10" Type="http://schemas.openxmlformats.org/officeDocument/2006/relationships/worksheet" Target="worksheets/sheet10.xml" /><Relationship Id="rId19" Type="http://schemas.microsoft.com/office/2006/relationships/vbaProject" Target="vbaProject.bin" /><Relationship Id="rId4" Type="http://schemas.openxmlformats.org/officeDocument/2006/relationships/worksheet" Target="worksheets/sheet4.xml" /><Relationship Id="rId9" Type="http://schemas.openxmlformats.org/officeDocument/2006/relationships/worksheet" Target="worksheets/sheet9.xml" /><Relationship Id="rId14" Type="http://schemas.openxmlformats.org/officeDocument/2006/relationships/externalLink" Target="externalLinks/externalLink3.xml" /></Relationships>
</file>

<file path=xl/activeX/activeX1.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6033"/>
  <ax:ocxPr ax:name="_ExtentY" ax:value="3784"/>
  <ax:ocxPr ax:name="_StockProps" ax:value="1"/>
  <ax:ocxPr ax:name="BackColor" ax:value="-2147483633"/>
  <ax:ocxPr ax:name="Year" ax:value="2018"/>
  <ax:ocxPr ax:name="Month" ax:value="5"/>
  <ax:ocxPr ax:name="Day" ax:value="27"/>
  <ax:ocxPr ax:name="DayLength" ax:value="1"/>
  <ax:ocxPr ax:name="MonthLength" ax:value="1"/>
  <ax:ocxPr ax:name="DayFontColor" ax:value="0"/>
  <ax:ocxPr ax:name="FirstDay" ax:value="7"/>
  <ax:ocxPr ax:name="GridCellEffect" ax:value="0"/>
  <ax:ocxPr ax:name="GridFontColor" ax:value="10485760"/>
  <ax:ocxPr ax:name="GridLinesColor" ax:value="-2147483632"/>
  <ax:ocxPr ax:name="ShowDateSelectors" ax:value="-1"/>
  <ax:ocxPr ax:name="ShowDays" ax:value="-1"/>
  <ax:ocxPr ax:name="ShowHorizontalGrid" ax:value="-1"/>
  <ax:ocxPr ax:name="ShowTitle" ax:value="-1"/>
  <ax:ocxPr ax:name="ShowVerticalGrid" ax:value="-1"/>
  <ax:ocxPr ax:name="TitleFontColor" ax:value="10485760"/>
  <ax:ocxPr ax:name="ValueIsNull" ax:value="0"/>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drawings/_rels/drawing1.xml.rels><?xml version="1.0" encoding="UTF-8" standalone="yes"?>
<Relationships xmlns="http://schemas.openxmlformats.org/package/2006/relationships"><Relationship Id="rId1" Type="http://schemas.openxmlformats.org/officeDocument/2006/relationships/image" Target="../media/image2.png" /></Relationships>
</file>

<file path=xl/drawings/_rels/drawing2.xml.rels><?xml version="1.0" encoding="UTF-8" standalone="yes"?>
<Relationships xmlns="http://schemas.openxmlformats.org/package/2006/relationships"><Relationship Id="rId1" Type="http://schemas.openxmlformats.org/officeDocument/2006/relationships/image" Target="../media/image3.png" /></Relationships>
</file>

<file path=xl/drawings/_rels/drawing3.xml.rels><?xml version="1.0" encoding="UTF-8" standalone="yes"?>
<Relationships xmlns="http://schemas.openxmlformats.org/package/2006/relationships"><Relationship Id="rId1" Type="http://schemas.openxmlformats.org/officeDocument/2006/relationships/image" Target="../media/image5.png" /></Relationships>
</file>

<file path=xl/drawings/_rels/drawing4.xml.rels><?xml version="1.0" encoding="UTF-8" standalone="yes"?>
<Relationships xmlns="http://schemas.openxmlformats.org/package/2006/relationships"><Relationship Id="rId1" Type="http://schemas.openxmlformats.org/officeDocument/2006/relationships/image" Target="../media/image3.png" /></Relationships>
</file>

<file path=xl/drawings/_rels/drawing5.xml.rels><?xml version="1.0" encoding="UTF-8" standalone="yes"?>
<Relationships xmlns="http://schemas.openxmlformats.org/package/2006/relationships"><Relationship Id="rId1" Type="http://schemas.openxmlformats.org/officeDocument/2006/relationships/image" Target="../media/image3.png" /></Relationships>
</file>

<file path=xl/drawings/_rels/drawing6.xml.rels><?xml version="1.0" encoding="UTF-8" standalone="yes"?>
<Relationships xmlns="http://schemas.openxmlformats.org/package/2006/relationships"><Relationship Id="rId1" Type="http://schemas.openxmlformats.org/officeDocument/2006/relationships/image" Target="../media/image3.png" /></Relationships>
</file>

<file path=xl/drawings/_rels/drawing7.xml.rels><?xml version="1.0" encoding="UTF-8" standalone="yes"?>
<Relationships xmlns="http://schemas.openxmlformats.org/package/2006/relationships"><Relationship Id="rId1" Type="http://schemas.openxmlformats.org/officeDocument/2006/relationships/image" Target="../media/image3.png" /></Relationships>
</file>

<file path=xl/drawings/_rels/drawing8.xml.rels><?xml version="1.0" encoding="UTF-8" standalone="yes"?>
<Relationships xmlns="http://schemas.openxmlformats.org/package/2006/relationships"><Relationship Id="rId1" Type="http://schemas.openxmlformats.org/officeDocument/2006/relationships/image" Target="../media/image3.png" /></Relationships>
</file>

<file path=xl/drawings/_rels/drawing9.xml.rels><?xml version="1.0" encoding="UTF-8" standalone="yes"?>
<Relationships xmlns="http://schemas.openxmlformats.org/package/2006/relationships"><Relationship Id="rId1" Type="http://schemas.openxmlformats.org/officeDocument/2006/relationships/image" Target="../media/image3.png" /></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 /></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 /></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 /></Relationships>
</file>

<file path=xl/drawings/drawing1.xml><?xml version="1.0" encoding="utf-8"?>
<xdr:wsDr xmlns:xdr="http://schemas.openxmlformats.org/drawingml/2006/spreadsheetDrawing" xmlns:a="http://schemas.openxmlformats.org/drawingml/2006/main">
  <xdr:twoCellAnchor editAs="oneCell">
    <xdr:from>
      <xdr:col>1</xdr:col>
      <xdr:colOff>2</xdr:colOff>
      <xdr:row>0</xdr:row>
      <xdr:rowOff>0</xdr:rowOff>
    </xdr:from>
    <xdr:to>
      <xdr:col>3</xdr:col>
      <xdr:colOff>127000</xdr:colOff>
      <xdr:row>2</xdr:row>
      <xdr:rowOff>328084</xdr:rowOff>
    </xdr:to>
    <xdr:pic>
      <xdr:nvPicPr>
        <xdr:cNvPr id="5" name="4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 y="0"/>
          <a:ext cx="2984498" cy="1005417"/>
        </a:xfrm>
        <a:prstGeom prst="rect">
          <a:avLst/>
        </a:prstGeom>
      </xdr:spPr>
    </xdr:pic>
    <xdr:clientData/>
  </xdr:twoCellAnchor>
  <xdr:twoCellAnchor>
    <xdr:from>
      <xdr:col>1</xdr:col>
      <xdr:colOff>1739469</xdr:colOff>
      <xdr:row>0</xdr:row>
      <xdr:rowOff>86255</xdr:rowOff>
    </xdr:from>
    <xdr:to>
      <xdr:col>2</xdr:col>
      <xdr:colOff>889000</xdr:colOff>
      <xdr:row>0</xdr:row>
      <xdr:rowOff>296333</xdr:rowOff>
    </xdr:to>
    <xdr:sp macro="[0]!Insert_Guard" textlink="">
      <xdr:nvSpPr>
        <xdr:cNvPr id="4" name="3 Forma libre">
          <a:extLst>
            <a:ext uri="{FF2B5EF4-FFF2-40B4-BE49-F238E27FC236}">
              <a16:creationId xmlns:a16="http://schemas.microsoft.com/office/drawing/2014/main" id="{00000000-0008-0000-0000-000004000000}"/>
            </a:ext>
          </a:extLst>
        </xdr:cNvPr>
        <xdr:cNvSpPr/>
      </xdr:nvSpPr>
      <xdr:spPr>
        <a:xfrm>
          <a:off x="2289802" y="86255"/>
          <a:ext cx="895781" cy="210078"/>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effectLst>
          <a:glow rad="63500">
            <a:schemeClr val="accent1">
              <a:hueOff val="0"/>
              <a:satOff val="0"/>
              <a:lumOff val="0"/>
              <a:alphaOff val="0"/>
              <a:tint val="30000"/>
              <a:shade val="95000"/>
              <a:satMod val="300000"/>
              <a:alpha val="50000"/>
            </a:schemeClr>
          </a:glow>
          <a:outerShdw blurRad="50800" dist="38100" dir="2700000" algn="tl" rotWithShape="0">
            <a:prstClr val="black">
              <a:alpha val="40000"/>
            </a:prstClr>
          </a:outerShdw>
        </a:effectLst>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cene3d>
            <a:camera prst="orthographicFront"/>
            <a:lightRig rig="threePt" dir="t"/>
          </a:scene3d>
          <a:flatTx/>
        </a:bodyPr>
        <a:lstStyle/>
        <a:p>
          <a:pPr lvl="0" algn="ctr" defTabSz="444500">
            <a:lnSpc>
              <a:spcPct val="90000"/>
            </a:lnSpc>
            <a:spcBef>
              <a:spcPct val="0"/>
            </a:spcBef>
            <a:spcAft>
              <a:spcPct val="35000"/>
            </a:spcAft>
          </a:pPr>
          <a:r>
            <a:rPr lang="es-ES" sz="1050" i="1" kern="1200">
              <a:solidFill>
                <a:schemeClr val="bg2">
                  <a:lumMod val="25000"/>
                </a:schemeClr>
              </a:solidFill>
            </a:rPr>
            <a:t>Insert Guard</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3</xdr:col>
      <xdr:colOff>392906</xdr:colOff>
      <xdr:row>0</xdr:row>
      <xdr:rowOff>14542</xdr:rowOff>
    </xdr:from>
    <xdr:to>
      <xdr:col>17</xdr:col>
      <xdr:colOff>9922</xdr:colOff>
      <xdr:row>0</xdr:row>
      <xdr:rowOff>332042</xdr:rowOff>
    </xdr:to>
    <xdr:sp macro="" textlink="">
      <xdr:nvSpPr>
        <xdr:cNvPr id="5" name="4 Redondear rectángulo de esquina del mismo lado">
          <a:extLst>
            <a:ext uri="{FF2B5EF4-FFF2-40B4-BE49-F238E27FC236}">
              <a16:creationId xmlns:a16="http://schemas.microsoft.com/office/drawing/2014/main" id="{00000000-0008-0000-0100-000005000000}"/>
            </a:ext>
          </a:extLst>
        </xdr:cNvPr>
        <xdr:cNvSpPr/>
      </xdr:nvSpPr>
      <xdr:spPr>
        <a:xfrm>
          <a:off x="2964656" y="14542"/>
          <a:ext cx="9189641" cy="317500"/>
        </a:xfrm>
        <a:prstGeom prst="round2Same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chemeClr val="bg2">
                  <a:lumMod val="25000"/>
                </a:schemeClr>
              </a:solidFill>
            </a:rPr>
            <a:t>NEW MEXICO</a:t>
          </a:r>
        </a:p>
      </xdr:txBody>
    </xdr:sp>
    <xdr:clientData/>
  </xdr:twoCellAnchor>
  <xdr:oneCellAnchor>
    <xdr:from>
      <xdr:col>1</xdr:col>
      <xdr:colOff>1320025</xdr:colOff>
      <xdr:row>0</xdr:row>
      <xdr:rowOff>313761</xdr:rowOff>
    </xdr:from>
    <xdr:ext cx="184730" cy="1026628"/>
    <xdr:sp macro="" textlink="">
      <xdr:nvSpPr>
        <xdr:cNvPr id="8" name="7 Rectángulo">
          <a:extLst>
            <a:ext uri="{FF2B5EF4-FFF2-40B4-BE49-F238E27FC236}">
              <a16:creationId xmlns:a16="http://schemas.microsoft.com/office/drawing/2014/main" id="{00000000-0008-0000-0100-000008000000}"/>
            </a:ext>
          </a:extLst>
        </xdr:cNvPr>
        <xdr:cNvSpPr/>
      </xdr:nvSpPr>
      <xdr:spPr>
        <a:xfrm>
          <a:off x="1320025"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14</xdr:col>
      <xdr:colOff>326199</xdr:colOff>
      <xdr:row>4</xdr:row>
      <xdr:rowOff>0</xdr:rowOff>
    </xdr:from>
    <xdr:to>
      <xdr:col>16</xdr:col>
      <xdr:colOff>156575</xdr:colOff>
      <xdr:row>5</xdr:row>
      <xdr:rowOff>114921</xdr:rowOff>
    </xdr:to>
    <xdr:sp macro="[0]!Clear_Schedule" textlink="">
      <xdr:nvSpPr>
        <xdr:cNvPr id="9" name="8 Forma libre">
          <a:extLst>
            <a:ext uri="{FF2B5EF4-FFF2-40B4-BE49-F238E27FC236}">
              <a16:creationId xmlns:a16="http://schemas.microsoft.com/office/drawing/2014/main" id="{00000000-0008-0000-0100-000009000000}"/>
            </a:ext>
          </a:extLst>
        </xdr:cNvPr>
        <xdr:cNvSpPr/>
      </xdr:nvSpPr>
      <xdr:spPr>
        <a:xfrm>
          <a:off x="10112158" y="861164"/>
          <a:ext cx="1213458" cy="336736"/>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scene3d>
          <a:camera prst="orthographicFront"/>
          <a:lightRig rig="flat" dir="t"/>
        </a:scene3d>
        <a:sp3d prstMaterial="dkEdge">
          <a:bevelT w="8200" h="38100"/>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bodyPr>
        <a:lstStyle/>
        <a:p>
          <a:pPr lvl="0" algn="ctr" defTabSz="444500">
            <a:lnSpc>
              <a:spcPct val="90000"/>
            </a:lnSpc>
            <a:spcBef>
              <a:spcPct val="0"/>
            </a:spcBef>
            <a:spcAft>
              <a:spcPct val="35000"/>
            </a:spcAft>
          </a:pPr>
          <a:r>
            <a:rPr lang="es-ES" sz="1000" kern="1200"/>
            <a:t>New Schedule</a:t>
          </a:r>
        </a:p>
      </xdr:txBody>
    </xdr:sp>
    <xdr:clientData fPrintsWithSheet="0"/>
  </xdr:twoCellAnchor>
  <xdr:twoCellAnchor editAs="oneCell">
    <xdr:from>
      <xdr:col>1</xdr:col>
      <xdr:colOff>100853</xdr:colOff>
      <xdr:row>0</xdr:row>
      <xdr:rowOff>100855</xdr:rowOff>
    </xdr:from>
    <xdr:to>
      <xdr:col>3</xdr:col>
      <xdr:colOff>358294</xdr:colOff>
      <xdr:row>3</xdr:row>
      <xdr:rowOff>59531</xdr:rowOff>
    </xdr:to>
    <xdr:pic>
      <xdr:nvPicPr>
        <xdr:cNvPr id="3" name="2 Imagen">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853" y="100855"/>
          <a:ext cx="2829191" cy="8992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110490</xdr:colOff>
      <xdr:row>0</xdr:row>
      <xdr:rowOff>0</xdr:rowOff>
    </xdr:from>
    <xdr:to>
      <xdr:col>11</xdr:col>
      <xdr:colOff>579596</xdr:colOff>
      <xdr:row>9</xdr:row>
      <xdr:rowOff>59531</xdr:rowOff>
    </xdr:to>
    <xdr:pic macro="[0]!Acereca_de">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490" y="0"/>
          <a:ext cx="9270206" cy="187690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647700</xdr:colOff>
          <xdr:row>0</xdr:row>
          <xdr:rowOff>190500</xdr:rowOff>
        </xdr:from>
        <xdr:to>
          <xdr:col>14</xdr:col>
          <xdr:colOff>552450</xdr:colOff>
          <xdr:row>8</xdr:row>
          <xdr:rowOff>180975</xdr:rowOff>
        </xdr:to>
        <xdr:sp macro="" textlink="">
          <xdr:nvSpPr>
            <xdr:cNvPr id="5122" name="Calendario" descr="Select WEEKENNDING(Sat every weed)"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11908</xdr:colOff>
      <xdr:row>0</xdr:row>
      <xdr:rowOff>14542</xdr:rowOff>
    </xdr:from>
    <xdr:to>
      <xdr:col>12</xdr:col>
      <xdr:colOff>21831</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300-000002000000}"/>
            </a:ext>
          </a:extLst>
        </xdr:cNvPr>
        <xdr:cNvSpPr/>
      </xdr:nvSpPr>
      <xdr:spPr>
        <a:xfrm>
          <a:off x="2910822" y="14542"/>
          <a:ext cx="8912071" cy="317500"/>
        </a:xfrm>
        <a:prstGeom prst="round2SameRect">
          <a:avLst/>
        </a:prstGeom>
        <a:solidFill>
          <a:schemeClr val="accent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ysClr val="windowText" lastClr="000000"/>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300-000003000000}"/>
            </a:ext>
            <a:ext uri="{147F2762-F138-4A5C-976F-8EAC2B608ADB}">
              <a16:predDERef xmlns:a16="http://schemas.microsoft.com/office/drawing/2014/main" pred="{95A6938B-1DFB-924E-AD07-E5FAFD2774E3}"/>
            </a:ext>
          </a:extLst>
        </xdr:cNvPr>
        <xdr:cNvSpPr/>
      </xdr:nvSpPr>
      <xdr:spPr>
        <a:xfrm>
          <a:off x="1462485"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10</xdr:col>
      <xdr:colOff>1045867</xdr:colOff>
      <xdr:row>3</xdr:row>
      <xdr:rowOff>63502</xdr:rowOff>
    </xdr:from>
    <xdr:to>
      <xdr:col>11</xdr:col>
      <xdr:colOff>698501</xdr:colOff>
      <xdr:row>4</xdr:row>
      <xdr:rowOff>136089</xdr:rowOff>
    </xdr:to>
    <xdr:sp macro="[0]!Clear_Schedule" textlink="">
      <xdr:nvSpPr>
        <xdr:cNvPr id="4" name="3 Forma libre">
          <a:extLst>
            <a:ext uri="{FF2B5EF4-FFF2-40B4-BE49-F238E27FC236}">
              <a16:creationId xmlns:a16="http://schemas.microsoft.com/office/drawing/2014/main" id="{00000000-0008-0000-0300-000004000000}"/>
            </a:ext>
            <a:ext uri="{147F2762-F138-4A5C-976F-8EAC2B608ADB}">
              <a16:predDERef xmlns:a16="http://schemas.microsoft.com/office/drawing/2014/main" pred="{594CD153-68E4-854A-BF71-5431BD5C9042}"/>
            </a:ext>
          </a:extLst>
        </xdr:cNvPr>
        <xdr:cNvSpPr/>
      </xdr:nvSpPr>
      <xdr:spPr>
        <a:xfrm>
          <a:off x="10262755" y="1163432"/>
          <a:ext cx="931468" cy="340945"/>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3</xdr:col>
      <xdr:colOff>742491</xdr:colOff>
      <xdr:row>2</xdr:row>
      <xdr:rowOff>267229</xdr:rowOff>
    </xdr:to>
    <xdr:pic macro="[0]!Acereca_de">
      <xdr:nvPicPr>
        <xdr:cNvPr id="5" name="4 Imagen">
          <a:extLst>
            <a:ext uri="{FF2B5EF4-FFF2-40B4-BE49-F238E27FC236}">
              <a16:creationId xmlns:a16="http://schemas.microsoft.com/office/drawing/2014/main" id="{00000000-0008-0000-0300-000005000000}"/>
            </a:ext>
            <a:ext uri="{147F2762-F138-4A5C-976F-8EAC2B608ADB}">
              <a16:predDERef xmlns:a16="http://schemas.microsoft.com/office/drawing/2014/main" pred="{D0C2EF9B-A926-F74D-8DD5-68BAF104895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313" y="100855"/>
          <a:ext cx="2549952" cy="901870"/>
        </a:xfrm>
        <a:prstGeom prst="rect">
          <a:avLst/>
        </a:prstGeom>
      </xdr:spPr>
    </xdr:pic>
    <xdr:clientData/>
  </xdr:twoCellAnchor>
  <xdr:oneCellAnchor>
    <xdr:from>
      <xdr:col>8</xdr:col>
      <xdr:colOff>1061508</xdr:colOff>
      <xdr:row>1</xdr:row>
      <xdr:rowOff>151342</xdr:rowOff>
    </xdr:from>
    <xdr:ext cx="65" cy="190309"/>
    <xdr:sp macro="" textlink="">
      <xdr:nvSpPr>
        <xdr:cNvPr id="6" name="CuadroTexto 5">
          <a:extLst>
            <a:ext uri="{FF2B5EF4-FFF2-40B4-BE49-F238E27FC236}">
              <a16:creationId xmlns:a16="http://schemas.microsoft.com/office/drawing/2014/main" id="{00000000-0008-0000-0300-000006000000}"/>
            </a:ext>
            <a:ext uri="{147F2762-F138-4A5C-976F-8EAC2B608ADB}">
              <a16:predDERef xmlns:a16="http://schemas.microsoft.com/office/drawing/2014/main" pred="{5574CE09-A7EF-CB41-91C3-9716D2CB4AF7}"/>
            </a:ext>
          </a:extLst>
        </xdr:cNvPr>
        <xdr:cNvSpPr txBox="1"/>
      </xdr:nvSpPr>
      <xdr:spPr>
        <a:xfrm>
          <a:off x="7780360" y="572098"/>
          <a:ext cx="65" cy="1903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3</xdr:col>
      <xdr:colOff>42334</xdr:colOff>
      <xdr:row>0</xdr:row>
      <xdr:rowOff>14542</xdr:rowOff>
    </xdr:from>
    <xdr:to>
      <xdr:col>17</xdr:col>
      <xdr:colOff>9923</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400-000002000000}"/>
            </a:ext>
          </a:extLst>
        </xdr:cNvPr>
        <xdr:cNvSpPr/>
      </xdr:nvSpPr>
      <xdr:spPr>
        <a:xfrm>
          <a:off x="2776009" y="14542"/>
          <a:ext cx="9540214" cy="317500"/>
        </a:xfrm>
        <a:prstGeom prst="round2Same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chemeClr val="bg2">
                  <a:lumMod val="25000"/>
                </a:schemeClr>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400-000003000000}"/>
            </a:ext>
          </a:extLst>
        </xdr:cNvPr>
        <xdr:cNvSpPr/>
      </xdr:nvSpPr>
      <xdr:spPr>
        <a:xfrm>
          <a:off x="1472425"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14</xdr:col>
      <xdr:colOff>347366</xdr:colOff>
      <xdr:row>3</xdr:row>
      <xdr:rowOff>190501</xdr:rowOff>
    </xdr:from>
    <xdr:to>
      <xdr:col>15</xdr:col>
      <xdr:colOff>402167</xdr:colOff>
      <xdr:row>5</xdr:row>
      <xdr:rowOff>40838</xdr:rowOff>
    </xdr:to>
    <xdr:sp macro="[0]!Clear_Schedule" textlink="">
      <xdr:nvSpPr>
        <xdr:cNvPr id="4" name="3 Forma libre">
          <a:extLst>
            <a:ext uri="{FF2B5EF4-FFF2-40B4-BE49-F238E27FC236}">
              <a16:creationId xmlns:a16="http://schemas.microsoft.com/office/drawing/2014/main" id="{00000000-0008-0000-0400-000004000000}"/>
            </a:ext>
          </a:extLst>
        </xdr:cNvPr>
        <xdr:cNvSpPr/>
      </xdr:nvSpPr>
      <xdr:spPr>
        <a:xfrm>
          <a:off x="10348616" y="1143001"/>
          <a:ext cx="988251" cy="336112"/>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3</xdr:col>
      <xdr:colOff>358294</xdr:colOff>
      <xdr:row>3</xdr:row>
      <xdr:rowOff>59531</xdr:rowOff>
    </xdr:to>
    <xdr:pic macro="[0]!Acereca_de">
      <xdr:nvPicPr>
        <xdr:cNvPr id="5" name="4 Imagen">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253" y="100855"/>
          <a:ext cx="2838716" cy="91117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42333</xdr:colOff>
      <xdr:row>0</xdr:row>
      <xdr:rowOff>14542</xdr:rowOff>
    </xdr:from>
    <xdr:to>
      <xdr:col>17</xdr:col>
      <xdr:colOff>9922</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500-000002000000}"/>
            </a:ext>
          </a:extLst>
        </xdr:cNvPr>
        <xdr:cNvSpPr/>
      </xdr:nvSpPr>
      <xdr:spPr>
        <a:xfrm>
          <a:off x="3214158" y="14542"/>
          <a:ext cx="9102064" cy="317500"/>
        </a:xfrm>
        <a:prstGeom prst="round2Same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chemeClr val="bg2">
                  <a:lumMod val="25000"/>
                </a:schemeClr>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500-000003000000}"/>
            </a:ext>
          </a:extLst>
        </xdr:cNvPr>
        <xdr:cNvSpPr/>
      </xdr:nvSpPr>
      <xdr:spPr>
        <a:xfrm>
          <a:off x="1472425"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14</xdr:col>
      <xdr:colOff>347366</xdr:colOff>
      <xdr:row>3</xdr:row>
      <xdr:rowOff>190501</xdr:rowOff>
    </xdr:from>
    <xdr:to>
      <xdr:col>15</xdr:col>
      <xdr:colOff>402167</xdr:colOff>
      <xdr:row>5</xdr:row>
      <xdr:rowOff>40838</xdr:rowOff>
    </xdr:to>
    <xdr:sp macro="[0]!Clear_Schedule" textlink="">
      <xdr:nvSpPr>
        <xdr:cNvPr id="4" name="3 Forma libre">
          <a:extLst>
            <a:ext uri="{FF2B5EF4-FFF2-40B4-BE49-F238E27FC236}">
              <a16:creationId xmlns:a16="http://schemas.microsoft.com/office/drawing/2014/main" id="{00000000-0008-0000-0500-000004000000}"/>
            </a:ext>
          </a:extLst>
        </xdr:cNvPr>
        <xdr:cNvSpPr/>
      </xdr:nvSpPr>
      <xdr:spPr>
        <a:xfrm>
          <a:off x="10348616" y="1143001"/>
          <a:ext cx="988251" cy="336112"/>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3</xdr:col>
      <xdr:colOff>358294</xdr:colOff>
      <xdr:row>3</xdr:row>
      <xdr:rowOff>59531</xdr:rowOff>
    </xdr:to>
    <xdr:pic macro="[0]!Acereca_de">
      <xdr:nvPicPr>
        <xdr:cNvPr id="5" name="4 Imagen">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253" y="100855"/>
          <a:ext cx="2838716" cy="91117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42333</xdr:colOff>
      <xdr:row>0</xdr:row>
      <xdr:rowOff>14542</xdr:rowOff>
    </xdr:from>
    <xdr:to>
      <xdr:col>17</xdr:col>
      <xdr:colOff>9922</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600-000002000000}"/>
            </a:ext>
          </a:extLst>
        </xdr:cNvPr>
        <xdr:cNvSpPr/>
      </xdr:nvSpPr>
      <xdr:spPr>
        <a:xfrm>
          <a:off x="2961545" y="14542"/>
          <a:ext cx="8353165" cy="317500"/>
        </a:xfrm>
        <a:prstGeom prst="round2Same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chemeClr val="bg2">
                  <a:lumMod val="25000"/>
                </a:schemeClr>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600-000003000000}"/>
            </a:ext>
            <a:ext uri="{147F2762-F138-4A5C-976F-8EAC2B608ADB}">
              <a16:predDERef xmlns:a16="http://schemas.microsoft.com/office/drawing/2014/main" pred="{A73B9A78-5357-0643-BB03-7B430447D120}"/>
            </a:ext>
          </a:extLst>
        </xdr:cNvPr>
        <xdr:cNvSpPr/>
      </xdr:nvSpPr>
      <xdr:spPr>
        <a:xfrm>
          <a:off x="1463123"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14</xdr:col>
      <xdr:colOff>347366</xdr:colOff>
      <xdr:row>3</xdr:row>
      <xdr:rowOff>190501</xdr:rowOff>
    </xdr:from>
    <xdr:to>
      <xdr:col>15</xdr:col>
      <xdr:colOff>402167</xdr:colOff>
      <xdr:row>5</xdr:row>
      <xdr:rowOff>40838</xdr:rowOff>
    </xdr:to>
    <xdr:sp macro="[0]!Clear_Schedule" textlink="">
      <xdr:nvSpPr>
        <xdr:cNvPr id="4" name="3 Forma libre">
          <a:extLst>
            <a:ext uri="{FF2B5EF4-FFF2-40B4-BE49-F238E27FC236}">
              <a16:creationId xmlns:a16="http://schemas.microsoft.com/office/drawing/2014/main" id="{00000000-0008-0000-0600-000004000000}"/>
            </a:ext>
            <a:ext uri="{147F2762-F138-4A5C-976F-8EAC2B608ADB}">
              <a16:predDERef xmlns:a16="http://schemas.microsoft.com/office/drawing/2014/main" pred="{CF56FB0C-11A9-A444-9067-13720F5F4E2B}"/>
            </a:ext>
          </a:extLst>
        </xdr:cNvPr>
        <xdr:cNvSpPr/>
      </xdr:nvSpPr>
      <xdr:spPr>
        <a:xfrm>
          <a:off x="9534296" y="1127796"/>
          <a:ext cx="909098" cy="315409"/>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3</xdr:col>
      <xdr:colOff>358294</xdr:colOff>
      <xdr:row>3</xdr:row>
      <xdr:rowOff>59531</xdr:rowOff>
    </xdr:to>
    <xdr:pic macro="[0]!Acereca_de">
      <xdr:nvPicPr>
        <xdr:cNvPr id="5" name="4 Imagen">
          <a:extLst>
            <a:ext uri="{FF2B5EF4-FFF2-40B4-BE49-F238E27FC236}">
              <a16:creationId xmlns:a16="http://schemas.microsoft.com/office/drawing/2014/main" id="{00000000-0008-0000-0600-000005000000}"/>
            </a:ext>
            <a:ext uri="{147F2762-F138-4A5C-976F-8EAC2B608ADB}">
              <a16:predDERef xmlns:a16="http://schemas.microsoft.com/office/drawing/2014/main" pred="{A3636EF3-1ED1-7146-8DC6-A3B67A9873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951" y="100855"/>
          <a:ext cx="2632878" cy="89597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42333</xdr:colOff>
      <xdr:row>0</xdr:row>
      <xdr:rowOff>14542</xdr:rowOff>
    </xdr:from>
    <xdr:to>
      <xdr:col>10</xdr:col>
      <xdr:colOff>9922</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700-000002000000}"/>
            </a:ext>
          </a:extLst>
        </xdr:cNvPr>
        <xdr:cNvSpPr/>
      </xdr:nvSpPr>
      <xdr:spPr>
        <a:xfrm>
          <a:off x="2960793" y="14542"/>
          <a:ext cx="8353399" cy="317500"/>
        </a:xfrm>
        <a:prstGeom prst="round2Same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chemeClr val="bg2">
                  <a:lumMod val="25000"/>
                </a:schemeClr>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700-000003000000}"/>
            </a:ext>
            <a:ext uri="{147F2762-F138-4A5C-976F-8EAC2B608ADB}">
              <a16:predDERef xmlns:a16="http://schemas.microsoft.com/office/drawing/2014/main" pred="{79F5C097-E531-DD4D-B3FC-13D9EE4F6CC9}"/>
            </a:ext>
          </a:extLst>
        </xdr:cNvPr>
        <xdr:cNvSpPr/>
      </xdr:nvSpPr>
      <xdr:spPr>
        <a:xfrm>
          <a:off x="1464805"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8</xdr:col>
      <xdr:colOff>1045867</xdr:colOff>
      <xdr:row>3</xdr:row>
      <xdr:rowOff>63502</xdr:rowOff>
    </xdr:from>
    <xdr:to>
      <xdr:col>9</xdr:col>
      <xdr:colOff>698501</xdr:colOff>
      <xdr:row>4</xdr:row>
      <xdr:rowOff>136089</xdr:rowOff>
    </xdr:to>
    <xdr:sp macro="[0]!Clear_Schedule" textlink="">
      <xdr:nvSpPr>
        <xdr:cNvPr id="4" name="3 Forma libre">
          <a:extLst>
            <a:ext uri="{FF2B5EF4-FFF2-40B4-BE49-F238E27FC236}">
              <a16:creationId xmlns:a16="http://schemas.microsoft.com/office/drawing/2014/main" id="{00000000-0008-0000-0700-000004000000}"/>
            </a:ext>
            <a:ext uri="{147F2762-F138-4A5C-976F-8EAC2B608ADB}">
              <a16:predDERef xmlns:a16="http://schemas.microsoft.com/office/drawing/2014/main" pred="{93EC68B1-3341-1843-B329-28604BC77AB0}"/>
            </a:ext>
          </a:extLst>
        </xdr:cNvPr>
        <xdr:cNvSpPr/>
      </xdr:nvSpPr>
      <xdr:spPr>
        <a:xfrm>
          <a:off x="10232200" y="1026585"/>
          <a:ext cx="943801" cy="337171"/>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3</xdr:col>
      <xdr:colOff>358294</xdr:colOff>
      <xdr:row>3</xdr:row>
      <xdr:rowOff>59531</xdr:rowOff>
    </xdr:to>
    <xdr:pic macro="[0]!Acereca_de">
      <xdr:nvPicPr>
        <xdr:cNvPr id="5" name="4 Imagen">
          <a:extLst>
            <a:ext uri="{FF2B5EF4-FFF2-40B4-BE49-F238E27FC236}">
              <a16:creationId xmlns:a16="http://schemas.microsoft.com/office/drawing/2014/main" id="{00000000-0008-0000-0700-000005000000}"/>
            </a:ext>
            <a:ext uri="{147F2762-F138-4A5C-976F-8EAC2B608ADB}">
              <a16:predDERef xmlns:a16="http://schemas.microsoft.com/office/drawing/2014/main" pred="{8E553403-13A8-684D-9A40-0B109583BB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5633" y="100855"/>
          <a:ext cx="2631071" cy="89593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3</xdr:col>
      <xdr:colOff>42333</xdr:colOff>
      <xdr:row>0</xdr:row>
      <xdr:rowOff>14542</xdr:rowOff>
    </xdr:from>
    <xdr:to>
      <xdr:col>10</xdr:col>
      <xdr:colOff>9922</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800-000002000000}"/>
            </a:ext>
          </a:extLst>
        </xdr:cNvPr>
        <xdr:cNvSpPr/>
      </xdr:nvSpPr>
      <xdr:spPr>
        <a:xfrm>
          <a:off x="2560743" y="14542"/>
          <a:ext cx="8284819" cy="317500"/>
        </a:xfrm>
        <a:prstGeom prst="round2Same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chemeClr val="bg2">
                  <a:lumMod val="25000"/>
                </a:schemeClr>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800-000003000000}"/>
            </a:ext>
            <a:ext uri="{147F2762-F138-4A5C-976F-8EAC2B608ADB}">
              <a16:predDERef xmlns:a16="http://schemas.microsoft.com/office/drawing/2014/main" pred="{AA7B016A-6B20-FF49-AA3D-6681298A7557}"/>
            </a:ext>
          </a:extLst>
        </xdr:cNvPr>
        <xdr:cNvSpPr/>
      </xdr:nvSpPr>
      <xdr:spPr>
        <a:xfrm>
          <a:off x="1464805"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8</xdr:col>
      <xdr:colOff>1045867</xdr:colOff>
      <xdr:row>3</xdr:row>
      <xdr:rowOff>63502</xdr:rowOff>
    </xdr:from>
    <xdr:to>
      <xdr:col>9</xdr:col>
      <xdr:colOff>698501</xdr:colOff>
      <xdr:row>4</xdr:row>
      <xdr:rowOff>136089</xdr:rowOff>
    </xdr:to>
    <xdr:sp macro="[0]!Clear_Schedule" textlink="">
      <xdr:nvSpPr>
        <xdr:cNvPr id="4" name="3 Forma libre">
          <a:extLst>
            <a:ext uri="{FF2B5EF4-FFF2-40B4-BE49-F238E27FC236}">
              <a16:creationId xmlns:a16="http://schemas.microsoft.com/office/drawing/2014/main" id="{00000000-0008-0000-0800-000004000000}"/>
            </a:ext>
            <a:ext uri="{147F2762-F138-4A5C-976F-8EAC2B608ADB}">
              <a16:predDERef xmlns:a16="http://schemas.microsoft.com/office/drawing/2014/main" pred="{1662DEA8-D541-BD4F-B97B-41D434E1896A}"/>
            </a:ext>
          </a:extLst>
        </xdr:cNvPr>
        <xdr:cNvSpPr/>
      </xdr:nvSpPr>
      <xdr:spPr>
        <a:xfrm>
          <a:off x="9431677" y="1000762"/>
          <a:ext cx="826114" cy="339287"/>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3</xdr:col>
      <xdr:colOff>358294</xdr:colOff>
      <xdr:row>3</xdr:row>
      <xdr:rowOff>59531</xdr:rowOff>
    </xdr:to>
    <xdr:pic macro="[0]!Acereca_de">
      <xdr:nvPicPr>
        <xdr:cNvPr id="5" name="4 Imagen">
          <a:extLst>
            <a:ext uri="{FF2B5EF4-FFF2-40B4-BE49-F238E27FC236}">
              <a16:creationId xmlns:a16="http://schemas.microsoft.com/office/drawing/2014/main" id="{00000000-0008-0000-0800-000005000000}"/>
            </a:ext>
            <a:ext uri="{147F2762-F138-4A5C-976F-8EAC2B608ADB}">
              <a16:predDERef xmlns:a16="http://schemas.microsoft.com/office/drawing/2014/main" pred="{324A2B93-78F8-8641-8457-930F267CD5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5633" y="100855"/>
          <a:ext cx="2631071" cy="89593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5</xdr:col>
      <xdr:colOff>42333</xdr:colOff>
      <xdr:row>0</xdr:row>
      <xdr:rowOff>14542</xdr:rowOff>
    </xdr:from>
    <xdr:to>
      <xdr:col>12</xdr:col>
      <xdr:colOff>9922</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900-000002000000}"/>
            </a:ext>
          </a:extLst>
        </xdr:cNvPr>
        <xdr:cNvSpPr/>
      </xdr:nvSpPr>
      <xdr:spPr>
        <a:xfrm>
          <a:off x="2582333" y="14542"/>
          <a:ext cx="8388941" cy="317500"/>
        </a:xfrm>
        <a:prstGeom prst="round2Same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chemeClr val="accent1">
                  <a:lumMod val="75000"/>
                </a:schemeClr>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900-000003000000}"/>
            </a:ext>
            <a:ext uri="{147F2762-F138-4A5C-976F-8EAC2B608ADB}">
              <a16:predDERef xmlns:a16="http://schemas.microsoft.com/office/drawing/2014/main" pred="{DF83310B-4F19-E14A-B726-94E1CFE76E79}"/>
            </a:ext>
          </a:extLst>
        </xdr:cNvPr>
        <xdr:cNvSpPr/>
      </xdr:nvSpPr>
      <xdr:spPr>
        <a:xfrm>
          <a:off x="1463123"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10</xdr:col>
      <xdr:colOff>1045867</xdr:colOff>
      <xdr:row>3</xdr:row>
      <xdr:rowOff>63502</xdr:rowOff>
    </xdr:from>
    <xdr:to>
      <xdr:col>11</xdr:col>
      <xdr:colOff>698501</xdr:colOff>
      <xdr:row>4</xdr:row>
      <xdr:rowOff>136089</xdr:rowOff>
    </xdr:to>
    <xdr:sp macro="[0]!Clear_Schedule" textlink="">
      <xdr:nvSpPr>
        <xdr:cNvPr id="4" name="3 Forma libre">
          <a:extLst>
            <a:ext uri="{FF2B5EF4-FFF2-40B4-BE49-F238E27FC236}">
              <a16:creationId xmlns:a16="http://schemas.microsoft.com/office/drawing/2014/main" id="{00000000-0008-0000-0900-000004000000}"/>
            </a:ext>
            <a:ext uri="{147F2762-F138-4A5C-976F-8EAC2B608ADB}">
              <a16:predDERef xmlns:a16="http://schemas.microsoft.com/office/drawing/2014/main" pred="{1F466044-05A0-924C-8AD7-26254F9B157A}"/>
            </a:ext>
          </a:extLst>
        </xdr:cNvPr>
        <xdr:cNvSpPr/>
      </xdr:nvSpPr>
      <xdr:spPr>
        <a:xfrm>
          <a:off x="9524459" y="1000797"/>
          <a:ext cx="840352" cy="337320"/>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3</xdr:col>
      <xdr:colOff>773664</xdr:colOff>
      <xdr:row>3</xdr:row>
      <xdr:rowOff>59531</xdr:rowOff>
    </xdr:to>
    <xdr:pic macro="[0]!Acereca_de">
      <xdr:nvPicPr>
        <xdr:cNvPr id="5" name="4 Imagen">
          <a:extLst>
            <a:ext uri="{FF2B5EF4-FFF2-40B4-BE49-F238E27FC236}">
              <a16:creationId xmlns:a16="http://schemas.microsoft.com/office/drawing/2014/main" id="{00000000-0008-0000-0900-000005000000}"/>
            </a:ext>
            <a:ext uri="{147F2762-F138-4A5C-976F-8EAC2B608ADB}">
              <a16:predDERef xmlns:a16="http://schemas.microsoft.com/office/drawing/2014/main" pred="{9432E6F5-A9CF-1048-A143-0F7C35E1112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951" y="100855"/>
          <a:ext cx="2654343" cy="8959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4</xdr:col>
      <xdr:colOff>11908</xdr:colOff>
      <xdr:row>0</xdr:row>
      <xdr:rowOff>14542</xdr:rowOff>
    </xdr:from>
    <xdr:to>
      <xdr:col>12</xdr:col>
      <xdr:colOff>21831</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A00-000002000000}"/>
            </a:ext>
          </a:extLst>
        </xdr:cNvPr>
        <xdr:cNvSpPr/>
      </xdr:nvSpPr>
      <xdr:spPr>
        <a:xfrm>
          <a:off x="3174208" y="14542"/>
          <a:ext cx="9706373" cy="317500"/>
        </a:xfrm>
        <a:prstGeom prst="round2SameRect">
          <a:avLst/>
        </a:prstGeom>
        <a:solidFill>
          <a:schemeClr val="accent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ysClr val="windowText" lastClr="000000"/>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A00-000003000000}"/>
            </a:ext>
            <a:ext uri="{147F2762-F138-4A5C-976F-8EAC2B608ADB}">
              <a16:predDERef xmlns:a16="http://schemas.microsoft.com/office/drawing/2014/main" pred="{95A6938B-1DFB-924E-AD07-E5FAFD2774E3}"/>
            </a:ext>
          </a:extLst>
        </xdr:cNvPr>
        <xdr:cNvSpPr/>
      </xdr:nvSpPr>
      <xdr:spPr>
        <a:xfrm>
          <a:off x="1472425"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10</xdr:col>
      <xdr:colOff>1045867</xdr:colOff>
      <xdr:row>3</xdr:row>
      <xdr:rowOff>63502</xdr:rowOff>
    </xdr:from>
    <xdr:to>
      <xdr:col>11</xdr:col>
      <xdr:colOff>698501</xdr:colOff>
      <xdr:row>4</xdr:row>
      <xdr:rowOff>136089</xdr:rowOff>
    </xdr:to>
    <xdr:sp macro="[0]!Clear_Schedule" textlink="">
      <xdr:nvSpPr>
        <xdr:cNvPr id="4" name="3 Forma libre">
          <a:extLst>
            <a:ext uri="{FF2B5EF4-FFF2-40B4-BE49-F238E27FC236}">
              <a16:creationId xmlns:a16="http://schemas.microsoft.com/office/drawing/2014/main" id="{00000000-0008-0000-0A00-000004000000}"/>
            </a:ext>
            <a:ext uri="{147F2762-F138-4A5C-976F-8EAC2B608ADB}">
              <a16:predDERef xmlns:a16="http://schemas.microsoft.com/office/drawing/2014/main" pred="{594CD153-68E4-854A-BF71-5431BD5C9042}"/>
            </a:ext>
          </a:extLst>
        </xdr:cNvPr>
        <xdr:cNvSpPr/>
      </xdr:nvSpPr>
      <xdr:spPr>
        <a:xfrm>
          <a:off x="11094742" y="1168402"/>
          <a:ext cx="1043284" cy="339287"/>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4</xdr:col>
      <xdr:colOff>2130</xdr:colOff>
      <xdr:row>2</xdr:row>
      <xdr:rowOff>267229</xdr:rowOff>
    </xdr:to>
    <xdr:pic macro="[0]!Acereca_de">
      <xdr:nvPicPr>
        <xdr:cNvPr id="5" name="4 Imagen">
          <a:extLst>
            <a:ext uri="{FF2B5EF4-FFF2-40B4-BE49-F238E27FC236}">
              <a16:creationId xmlns:a16="http://schemas.microsoft.com/office/drawing/2014/main" id="{00000000-0008-0000-0A00-000005000000}"/>
            </a:ext>
            <a:ext uri="{147F2762-F138-4A5C-976F-8EAC2B608ADB}">
              <a16:predDERef xmlns:a16="http://schemas.microsoft.com/office/drawing/2014/main" pred="{D0C2EF9B-A926-F74D-8DD5-68BAF104895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253" y="100855"/>
          <a:ext cx="2727613" cy="899799"/>
        </a:xfrm>
        <a:prstGeom prst="rect">
          <a:avLst/>
        </a:prstGeom>
      </xdr:spPr>
    </xdr:pic>
    <xdr:clientData/>
  </xdr:twoCellAnchor>
  <xdr:oneCellAnchor>
    <xdr:from>
      <xdr:col>8</xdr:col>
      <xdr:colOff>1061508</xdr:colOff>
      <xdr:row>1</xdr:row>
      <xdr:rowOff>151342</xdr:rowOff>
    </xdr:from>
    <xdr:ext cx="65" cy="190309"/>
    <xdr:sp macro="" textlink="">
      <xdr:nvSpPr>
        <xdr:cNvPr id="6" name="CuadroTexto 5">
          <a:extLst>
            <a:ext uri="{FF2B5EF4-FFF2-40B4-BE49-F238E27FC236}">
              <a16:creationId xmlns:a16="http://schemas.microsoft.com/office/drawing/2014/main" id="{00000000-0008-0000-0A00-000006000000}"/>
            </a:ext>
            <a:ext uri="{147F2762-F138-4A5C-976F-8EAC2B608ADB}">
              <a16:predDERef xmlns:a16="http://schemas.microsoft.com/office/drawing/2014/main" pred="{5574CE09-A7EF-CB41-91C3-9716D2CB4AF7}"/>
            </a:ext>
          </a:extLst>
        </xdr:cNvPr>
        <xdr:cNvSpPr txBox="1"/>
      </xdr:nvSpPr>
      <xdr:spPr>
        <a:xfrm>
          <a:off x="8386233" y="570442"/>
          <a:ext cx="65" cy="1903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838f70c0dca690b9/Documentos/Schedule_Metro1/Sch_Metro1/Sched_Metro1-2018-v5-Pc.xlsm" TargetMode="External" /></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838f70c0dca690b9/Documentos/Schedule_Metro1/Timer_Schedule.xlsx" TargetMode="External" /></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Presupuesto%20mensual%20simple1" TargetMode="External"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d"/>
      <sheetName val="Available"/>
      <sheetName val="Schedule"/>
      <sheetName val="Time_Sheet"/>
      <sheetName val="Master"/>
      <sheetName val="Sch_May-27"/>
      <sheetName val="Sch_May-20"/>
      <sheetName val="Sched_Metro1-2018-v5-Pc"/>
    </sheetNames>
    <sheetDataSet>
      <sheetData sheetId="0">
        <row r="5">
          <cell r="A5" t="str">
            <v>Candelaria Matthew 29</v>
          </cell>
        </row>
        <row r="32">
          <cell r="B32" t="str">
            <v>06:00--14:30</v>
          </cell>
        </row>
        <row r="34">
          <cell r="B34" t="str">
            <v>13:30--22:00</v>
          </cell>
        </row>
        <row r="38">
          <cell r="B38" t="str">
            <v>08:00--20:00</v>
          </cell>
        </row>
      </sheetData>
      <sheetData sheetId="1"/>
      <sheetData sheetId="2"/>
      <sheetData sheetId="3"/>
      <sheetData sheetId="4">
        <row r="8">
          <cell r="D8">
            <v>43240</v>
          </cell>
        </row>
      </sheetData>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pus"/>
      <sheetName val="Morning Crew"/>
      <sheetName val="Evening Crew"/>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Ingresos mensuales"/>
      <sheetName val="Gastos mensuales"/>
      <sheetName val="Presupuesto mensual simple1"/>
    </sheetNames>
    <sheetDataSet>
      <sheetData sheetId="0" refreshError="1"/>
      <sheetData sheetId="1"/>
      <sheetData sheetId="2" refreshError="1"/>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ost_db5232" displayName="Post_db5232" ref="B24:D35" totalsRowShown="0" headerRowDxfId="583" tableBorderDxfId="582">
  <autoFilter ref="B24:D35" xr:uid="{00000000-0009-0000-0100-000001000000}"/>
  <tableColumns count="3">
    <tableColumn id="1" xr3:uid="{00000000-0010-0000-0000-000001000000}" name="Post" dataDxfId="581"/>
    <tableColumn id="2" xr3:uid="{00000000-0010-0000-0000-000002000000}" name="Timer" dataDxfId="580"/>
    <tableColumn id="3" xr3:uid="{386122DB-FD04-456C-A34D-3C53C978CE45}" name="Columna1" dataDxfId="57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F50DE8-FB3B-47C6-BEDB-3BF86AE920A9}" name="Tabla25" displayName="Tabla25" ref="F24:G30" totalsRowCount="1">
  <autoFilter ref="F24:G29" xr:uid="{C9EE1005-08AD-4952-A156-0AEBF6F9B431}"/>
  <tableColumns count="2">
    <tableColumn id="1" xr3:uid="{82268A25-91DE-41F1-B165-AF1D51E0B5F9}" name="No" totalsRowFunction="sum" totalsRowDxfId="578"/>
    <tableColumn id="2" xr3:uid="{99375E1A-DC5F-4F56-B6C8-07939E1DEEDB}" name="Evaluation" dataDxfId="577" totalsRowDxfId="57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90E73EB-1201-42B1-B468-82F0863DA072}" name="Tabla3" displayName="Tabla3" ref="F31:F53" totalsRowShown="0" headerRowDxfId="575" dataDxfId="574">
  <autoFilter ref="F31:F53" xr:uid="{677F24B5-B216-4BD3-AEAA-A9AD0429E72F}"/>
  <tableColumns count="1">
    <tableColumn id="1" xr3:uid="{50531D3C-9ABE-4626-94E0-95D999746389}" name="Hrs" dataDxfId="5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46BD4AA-73F9-426B-B1E2-5FB79DC637F6}" name="Tabla4" displayName="Tabla4" ref="B41:B45" totalsRowShown="0">
  <autoFilter ref="B41:B45" xr:uid="{682C19AB-D651-4714-85D4-956FB209260C}"/>
  <tableColumns count="1">
    <tableColumn id="1" xr3:uid="{2778FE11-3ABA-4676-AC87-AE1BEA8B5925}" name="Detail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6C9CBD7-D66F-4BD2-BC4D-33CE568954DC}" name="Tabla5" displayName="Tabla5" ref="D41:D44" totalsRowShown="0">
  <autoFilter ref="D41:D44" xr:uid="{66BE9273-2A85-4753-ABEE-1D809E7C0C4C}"/>
  <tableColumns count="1">
    <tableColumn id="1" xr3:uid="{59ABA115-8D12-4AC9-B5E6-7CB15F799DE6}" name="Stores"/>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 /></Relationships>
</file>

<file path=xl/theme/theme1.xml><?xml version="1.0" encoding="utf-8"?>
<a:theme xmlns:a="http://schemas.openxmlformats.org/drawingml/2006/main" name="Elemental">
  <a:themeElements>
    <a:clrScheme name="Elemental">
      <a:dk1>
        <a:sysClr val="windowText" lastClr="000000"/>
      </a:dk1>
      <a:lt1>
        <a:sysClr val="window" lastClr="FFFFFF"/>
      </a:lt1>
      <a:dk2>
        <a:srgbClr val="242852"/>
      </a:dk2>
      <a:lt2>
        <a:srgbClr val="ACCBF9"/>
      </a:lt2>
      <a:accent1>
        <a:srgbClr val="629DD1"/>
      </a:accent1>
      <a:accent2>
        <a:srgbClr val="297FD5"/>
      </a:accent2>
      <a:accent3>
        <a:srgbClr val="7F8FA9"/>
      </a:accent3>
      <a:accent4>
        <a:srgbClr val="4A66AC"/>
      </a:accent4>
      <a:accent5>
        <a:srgbClr val="5AA2AE"/>
      </a:accent5>
      <a:accent6>
        <a:srgbClr val="9D90A0"/>
      </a:accent6>
      <a:hlink>
        <a:srgbClr val="9454C3"/>
      </a:hlink>
      <a:folHlink>
        <a:srgbClr val="3EBBF0"/>
      </a:folHlink>
    </a:clrScheme>
    <a:fontScheme name="Elemental">
      <a:majorFont>
        <a:latin typeface="Palatino Linotype"/>
        <a:ea typeface=""/>
        <a:cs typeface=""/>
        <a:font script="Jpan" typeface="HGS明朝E"/>
        <a:font script="Hang" typeface="맑은 고딕"/>
        <a:font script="Hans" typeface="宋体"/>
        <a:font script="Hant" typeface="新細明體"/>
        <a:font script="Arab" typeface="Times New Roman"/>
        <a:font script="Hebr" typeface="Times New Roman"/>
        <a:font script="Thai" typeface="Browalli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Palatino Linotype"/>
        <a:ea typeface=""/>
        <a:cs typeface=""/>
        <a:font script="Jpan" typeface="HGS明朝E"/>
        <a:font script="Hang" typeface="맑은 고딕"/>
        <a:font script="Hans" typeface="宋体"/>
        <a:font script="Hant" typeface="新細明體"/>
        <a:font script="Arab" typeface="Times New Roman"/>
        <a:font script="Hebr" typeface="Times New Roman"/>
        <a:font script="Thai" typeface="Browalli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Técnico">
      <a:fillStyleLst>
        <a:solidFill>
          <a:schemeClr val="phClr"/>
        </a:solidFill>
        <a:gradFill rotWithShape="1">
          <a:gsLst>
            <a:gs pos="0">
              <a:schemeClr val="phClr">
                <a:tint val="1000"/>
              </a:schemeClr>
            </a:gs>
            <a:gs pos="68000">
              <a:schemeClr val="phClr">
                <a:tint val="77000"/>
              </a:schemeClr>
            </a:gs>
            <a:gs pos="81000">
              <a:schemeClr val="phClr">
                <a:tint val="79000"/>
              </a:schemeClr>
            </a:gs>
            <a:gs pos="86000">
              <a:schemeClr val="phClr">
                <a:tint val="73000"/>
              </a:schemeClr>
            </a:gs>
            <a:gs pos="100000">
              <a:schemeClr val="phClr">
                <a:tint val="35000"/>
              </a:schemeClr>
            </a:gs>
          </a:gsLst>
          <a:lin ang="5400000" scaled="1"/>
        </a:gradFill>
        <a:gradFill rotWithShape="1">
          <a:gsLst>
            <a:gs pos="0">
              <a:schemeClr val="phClr">
                <a:tint val="73000"/>
                <a:satMod val="150000"/>
              </a:schemeClr>
            </a:gs>
            <a:gs pos="25000">
              <a:schemeClr val="phClr">
                <a:tint val="96000"/>
                <a:shade val="80000"/>
                <a:satMod val="105000"/>
              </a:schemeClr>
            </a:gs>
            <a:gs pos="38000">
              <a:schemeClr val="phClr">
                <a:tint val="96000"/>
                <a:shade val="59000"/>
                <a:satMod val="120000"/>
              </a:schemeClr>
            </a:gs>
            <a:gs pos="55000">
              <a:schemeClr val="phClr">
                <a:shade val="57000"/>
                <a:satMod val="120000"/>
              </a:schemeClr>
            </a:gs>
            <a:gs pos="80000">
              <a:schemeClr val="phClr">
                <a:shade val="56000"/>
                <a:satMod val="145000"/>
              </a:schemeClr>
            </a:gs>
            <a:gs pos="88000">
              <a:schemeClr val="phClr">
                <a:shade val="63000"/>
                <a:satMod val="160000"/>
              </a:schemeClr>
            </a:gs>
            <a:gs pos="100000">
              <a:schemeClr val="phClr">
                <a:tint val="99555"/>
                <a:satMod val="155000"/>
              </a:schemeClr>
            </a:gs>
          </a:gsLst>
          <a:lin ang="5400000" scaled="1"/>
        </a:gradFill>
      </a:fillStyleLst>
      <a:lnStyleLst>
        <a:ln w="9525" cap="flat" cmpd="sng" algn="ctr">
          <a:solidFill>
            <a:schemeClr val="phClr">
              <a:shade val="60000"/>
              <a:satMod val="300000"/>
            </a:schemeClr>
          </a:solidFill>
          <a:prstDash val="solid"/>
        </a:ln>
        <a:ln w="19050" cap="flat" cmpd="sng" algn="ctr">
          <a:solidFill>
            <a:schemeClr val="phClr"/>
          </a:solidFill>
          <a:prstDash val="solid"/>
        </a:ln>
        <a:ln w="19050" cap="flat" cmpd="sng" algn="ctr">
          <a:solidFill>
            <a:schemeClr val="phClr"/>
          </a:solidFill>
          <a:prstDash val="solid"/>
        </a:ln>
      </a:lnStyleLst>
      <a:effectStyleLst>
        <a:effectStyle>
          <a:effectLst>
            <a:glow rad="63500">
              <a:schemeClr val="phClr">
                <a:tint val="30000"/>
                <a:shade val="95000"/>
                <a:satMod val="300000"/>
                <a:alpha val="50000"/>
              </a:schemeClr>
            </a:glow>
          </a:effectLst>
        </a:effectStyle>
        <a:effectStyle>
          <a:effectLst>
            <a:glow rad="70000">
              <a:schemeClr val="phClr">
                <a:tint val="30000"/>
                <a:shade val="95000"/>
                <a:satMod val="300000"/>
                <a:alpha val="50000"/>
              </a:schemeClr>
            </a:glow>
          </a:effectLst>
        </a:effectStyle>
        <a:effectStyle>
          <a:effectLst>
            <a:glow rad="76200">
              <a:schemeClr val="phClr">
                <a:tint val="30000"/>
                <a:shade val="95000"/>
                <a:satMod val="300000"/>
                <a:alpha val="50000"/>
              </a:schemeClr>
            </a:glow>
          </a:effectLst>
          <a:scene3d>
            <a:camera prst="orthographicFront" fov="0">
              <a:rot lat="0" lon="0" rev="0"/>
            </a:camera>
            <a:lightRig rig="harsh" dir="t">
              <a:rot lat="6000000" lon="6000000" rev="0"/>
            </a:lightRig>
          </a:scene3d>
          <a:sp3d contourW="10000" prstMaterial="metal">
            <a:bevelT w="20000" h="9000" prst="softRound"/>
            <a:contourClr>
              <a:schemeClr val="phClr">
                <a:shade val="30000"/>
                <a:satMod val="200000"/>
              </a:schemeClr>
            </a:contourClr>
          </a:sp3d>
        </a:effectStyle>
      </a:effectStyleLst>
      <a:bgFillStyleLst>
        <a:solidFill>
          <a:schemeClr val="phClr"/>
        </a:solidFill>
        <a:gradFill rotWithShape="1">
          <a:gsLst>
            <a:gs pos="0">
              <a:schemeClr val="phClr">
                <a:tint val="95000"/>
              </a:schemeClr>
            </a:gs>
            <a:gs pos="100000">
              <a:schemeClr val="phClr">
                <a:shade val="40000"/>
                <a:satMod val="180000"/>
              </a:schemeClr>
            </a:gs>
          </a:gsLst>
          <a:lin ang="5400000" scaled="0"/>
        </a:gradFill>
        <a:blipFill>
          <a:blip xmlns:r="http://schemas.openxmlformats.org/officeDocument/2006/relationships" r:embed="rId1">
            <a:duotone>
              <a:schemeClr val="phClr">
                <a:shade val="14000"/>
                <a:satMod val="280000"/>
              </a:schemeClr>
              <a:schemeClr val="phClr">
                <a:tint val="60000"/>
                <a:satMod val="120000"/>
              </a:schemeClr>
            </a:duotone>
          </a:blip>
          <a:stretch/>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 /><Relationship Id="rId7" Type="http://schemas.openxmlformats.org/officeDocument/2006/relationships/table" Target="../tables/table5.xml" /><Relationship Id="rId2" Type="http://schemas.openxmlformats.org/officeDocument/2006/relationships/drawing" Target="../drawings/drawing1.xml" /><Relationship Id="rId1" Type="http://schemas.openxmlformats.org/officeDocument/2006/relationships/printerSettings" Target="../printerSettings/printerSettings1.bin" /><Relationship Id="rId6" Type="http://schemas.openxmlformats.org/officeDocument/2006/relationships/table" Target="../tables/table4.xml" /><Relationship Id="rId5" Type="http://schemas.openxmlformats.org/officeDocument/2006/relationships/table" Target="../tables/table3.xml" /><Relationship Id="rId4" Type="http://schemas.openxmlformats.org/officeDocument/2006/relationships/table" Target="../tables/table2.xml" /></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 /><Relationship Id="rId1" Type="http://schemas.openxmlformats.org/officeDocument/2006/relationships/printerSettings" Target="../printerSettings/printerSettings2.bin" /></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 /><Relationship Id="rId2" Type="http://schemas.openxmlformats.org/officeDocument/2006/relationships/drawing" Target="../drawings/drawing3.xml" /><Relationship Id="rId1" Type="http://schemas.openxmlformats.org/officeDocument/2006/relationships/printerSettings" Target="../printerSettings/printerSettings3.bin" /><Relationship Id="rId5" Type="http://schemas.openxmlformats.org/officeDocument/2006/relationships/image" Target="../media/image4.emf" /><Relationship Id="rId4" Type="http://schemas.openxmlformats.org/officeDocument/2006/relationships/control" Target="../activeX/activeX1.xml" /></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 /><Relationship Id="rId2" Type="http://schemas.openxmlformats.org/officeDocument/2006/relationships/printerSettings" Target="../printerSettings/printerSettings4.bin" /><Relationship Id="rId1" Type="http://schemas.openxmlformats.org/officeDocument/2006/relationships/hyperlink" Target="mailto:mayoralap@gmail.com" TargetMode="External" /></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 /><Relationship Id="rId2" Type="http://schemas.openxmlformats.org/officeDocument/2006/relationships/printerSettings" Target="../printerSettings/printerSettings5.bin" /><Relationship Id="rId1" Type="http://schemas.openxmlformats.org/officeDocument/2006/relationships/hyperlink" Target="mailto:mayoralap@gmail.com" TargetMode="External" /></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 /><Relationship Id="rId2" Type="http://schemas.openxmlformats.org/officeDocument/2006/relationships/printerSettings" Target="../printerSettings/printerSettings6.bin" /><Relationship Id="rId1" Type="http://schemas.openxmlformats.org/officeDocument/2006/relationships/hyperlink" Target="mailto:mayoralap@gmail.com" TargetMode="External" /></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 /><Relationship Id="rId2" Type="http://schemas.openxmlformats.org/officeDocument/2006/relationships/printerSettings" Target="../printerSettings/printerSettings7.bin" /><Relationship Id="rId1" Type="http://schemas.openxmlformats.org/officeDocument/2006/relationships/hyperlink" Target="mailto:mayoralap@gmail.com" TargetMode="External" /></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 /><Relationship Id="rId2" Type="http://schemas.openxmlformats.org/officeDocument/2006/relationships/printerSettings" Target="../printerSettings/printerSettings8.bin" /><Relationship Id="rId1" Type="http://schemas.openxmlformats.org/officeDocument/2006/relationships/hyperlink" Target="mailto:mayoralap@gmail.com" TargetMode="External" /></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 /><Relationship Id="rId2" Type="http://schemas.openxmlformats.org/officeDocument/2006/relationships/printerSettings" Target="../printerSettings/printerSettings9.bin" /><Relationship Id="rId1" Type="http://schemas.openxmlformats.org/officeDocument/2006/relationships/hyperlink" Target="mailto:mayoralap@gmail.com" TargetMode="External" /></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 /><Relationship Id="rId2" Type="http://schemas.openxmlformats.org/officeDocument/2006/relationships/printerSettings" Target="../printerSettings/printerSettings10.bin" /><Relationship Id="rId1" Type="http://schemas.openxmlformats.org/officeDocument/2006/relationships/hyperlink" Target="mailto:mayoralap@gmail.com" TargetMode="External" /></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 /><Relationship Id="rId2" Type="http://schemas.openxmlformats.org/officeDocument/2006/relationships/printerSettings" Target="../printerSettings/printerSettings11.bin" /><Relationship Id="rId1" Type="http://schemas.openxmlformats.org/officeDocument/2006/relationships/hyperlink" Target="mailto:mayoralap@gmail.com" TargetMode="Externa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tabColor theme="9" tint="-0.499984740745262"/>
    <pageSetUpPr fitToPage="1"/>
  </sheetPr>
  <dimension ref="A1:AA117"/>
  <sheetViews>
    <sheetView zoomScale="90" zoomScaleNormal="90" workbookViewId="0" xr3:uid="{AEA406A1-0E4B-5B11-9CD5-51D6E497D94C}">
      <selection activeCell="D1" sqref="D1:E3"/>
    </sheetView>
  </sheetViews>
  <sheetFormatPr defaultColWidth="13.36328125" defaultRowHeight="16.5" customHeight="1" x14ac:dyDescent="0.25"/>
  <cols>
    <col min="1" max="1" width="5.1796875" customWidth="1"/>
    <col min="2" max="2" width="22.90625" bestFit="1" customWidth="1"/>
    <col min="3" max="3" width="14.31640625" style="37" bestFit="1" customWidth="1"/>
    <col min="4" max="4" width="11.86328125" bestFit="1" customWidth="1"/>
    <col min="5" max="5" width="17.1796875" bestFit="1" customWidth="1"/>
    <col min="6" max="6" width="10.36328125" bestFit="1" customWidth="1"/>
    <col min="7" max="7" width="13.76953125" style="17" bestFit="1" customWidth="1"/>
    <col min="8" max="21" width="2.99609375" bestFit="1" customWidth="1"/>
    <col min="22" max="22" width="9.81640625" style="17" customWidth="1"/>
    <col min="23" max="23" width="10.49609375" bestFit="1" customWidth="1"/>
    <col min="27" max="27" width="2.99609375" bestFit="1" customWidth="1"/>
  </cols>
  <sheetData>
    <row r="1" spans="1:27" ht="27" customHeight="1" x14ac:dyDescent="0.25">
      <c r="B1" s="277"/>
      <c r="C1" s="277"/>
      <c r="D1" s="278">
        <v>3502</v>
      </c>
      <c r="E1" s="278"/>
      <c r="F1" s="280" t="s">
        <v>15</v>
      </c>
      <c r="G1" s="280"/>
      <c r="H1" s="280"/>
      <c r="I1" s="280"/>
      <c r="J1" s="280"/>
      <c r="K1" s="280"/>
      <c r="L1" s="280"/>
      <c r="M1" s="280"/>
      <c r="N1" s="280"/>
      <c r="O1" s="280"/>
      <c r="P1" s="280"/>
      <c r="Q1" s="280"/>
      <c r="R1" s="280"/>
      <c r="S1" s="280"/>
      <c r="T1" s="280"/>
      <c r="U1" s="280"/>
      <c r="V1" s="280"/>
      <c r="W1" s="280"/>
    </row>
    <row r="2" spans="1:27" ht="27" customHeight="1" x14ac:dyDescent="0.25">
      <c r="B2" s="277"/>
      <c r="C2" s="277"/>
      <c r="D2" s="278"/>
      <c r="E2" s="278"/>
      <c r="F2" s="280"/>
      <c r="G2" s="280"/>
      <c r="H2" s="280"/>
      <c r="I2" s="280"/>
      <c r="J2" s="280"/>
      <c r="K2" s="280"/>
      <c r="L2" s="280"/>
      <c r="M2" s="280"/>
      <c r="N2" s="280"/>
      <c r="O2" s="280"/>
      <c r="P2" s="280"/>
      <c r="Q2" s="280"/>
      <c r="R2" s="280"/>
      <c r="S2" s="280"/>
      <c r="T2" s="280"/>
      <c r="U2" s="280"/>
      <c r="V2" s="280"/>
      <c r="W2" s="280"/>
    </row>
    <row r="3" spans="1:27" ht="27" customHeight="1" x14ac:dyDescent="0.25">
      <c r="B3" s="277"/>
      <c r="C3" s="277"/>
      <c r="D3" s="279"/>
      <c r="E3" s="279"/>
      <c r="F3" s="281"/>
      <c r="G3" s="281"/>
      <c r="H3" s="281"/>
      <c r="I3" s="281"/>
      <c r="J3" s="281"/>
      <c r="K3" s="281"/>
      <c r="L3" s="281"/>
      <c r="M3" s="281"/>
      <c r="N3" s="281"/>
      <c r="O3" s="281"/>
      <c r="P3" s="281"/>
      <c r="Q3" s="281"/>
      <c r="R3" s="281"/>
      <c r="S3" s="281"/>
      <c r="T3" s="281"/>
      <c r="U3" s="281"/>
      <c r="V3" s="281"/>
      <c r="W3" s="281"/>
    </row>
    <row r="4" spans="1:27" s="14" customFormat="1" ht="15.75" x14ac:dyDescent="0.25">
      <c r="A4" s="215" t="s">
        <v>118</v>
      </c>
      <c r="B4" s="15" t="s">
        <v>52</v>
      </c>
      <c r="C4" s="36" t="s">
        <v>19</v>
      </c>
      <c r="D4" s="16" t="s">
        <v>64</v>
      </c>
      <c r="E4" s="16" t="s">
        <v>65</v>
      </c>
      <c r="F4" s="16" t="s">
        <v>54</v>
      </c>
      <c r="G4" s="16" t="s">
        <v>66</v>
      </c>
      <c r="H4" s="282" t="s">
        <v>10</v>
      </c>
      <c r="I4" s="283"/>
      <c r="J4" s="282" t="s">
        <v>9</v>
      </c>
      <c r="K4" s="283"/>
      <c r="L4" s="282" t="s">
        <v>8</v>
      </c>
      <c r="M4" s="283"/>
      <c r="N4" s="282" t="s">
        <v>7</v>
      </c>
      <c r="O4" s="283"/>
      <c r="P4" s="282" t="s">
        <v>6</v>
      </c>
      <c r="Q4" s="283"/>
      <c r="R4" s="282" t="s">
        <v>5</v>
      </c>
      <c r="S4" s="283"/>
      <c r="T4" s="282" t="s">
        <v>4</v>
      </c>
      <c r="U4" s="283"/>
      <c r="V4" s="216" t="s">
        <v>57</v>
      </c>
      <c r="W4" s="124" t="s">
        <v>56</v>
      </c>
    </row>
    <row r="5" spans="1:27" s="14" customFormat="1" ht="15.75" x14ac:dyDescent="0.25">
      <c r="A5">
        <f t="shared" ref="A5:A19" si="0">(IFERROR(MID(B5,LEN(B5)-2,LEN(B5)),0))*1</f>
        <v>29</v>
      </c>
      <c r="B5" s="27" t="s">
        <v>51</v>
      </c>
      <c r="C5" s="214"/>
      <c r="D5" s="28"/>
      <c r="E5" s="29"/>
      <c r="F5" s="28"/>
      <c r="G5" s="30"/>
      <c r="H5" s="18" t="str">
        <f t="shared" ref="H5:H21" si="1">IF(I5&lt;&gt;"",$AA$13,$AA$15)</f>
        <v>c</v>
      </c>
      <c r="I5" s="35"/>
      <c r="J5" s="18" t="str">
        <f t="shared" ref="J5:J21" si="2">IF(K5&lt;&gt;"",$AA$13,$AA$15)</f>
        <v>c</v>
      </c>
      <c r="K5" s="35"/>
      <c r="L5" s="18" t="str">
        <f t="shared" ref="L5:L21" si="3">IF(M5&lt;&gt;"",$AA$13,$AA$15)</f>
        <v>c</v>
      </c>
      <c r="M5" s="35"/>
      <c r="N5" s="18" t="str">
        <f t="shared" ref="N5:N21" si="4">IF(O5&lt;&gt;"",$AA$13,$AA$15)</f>
        <v>c</v>
      </c>
      <c r="O5" s="35"/>
      <c r="P5" s="18" t="str">
        <f t="shared" ref="P5:P21" si="5">IF(Q5&lt;&gt;"",$AA$13,$AA$15)</f>
        <v>c</v>
      </c>
      <c r="Q5" s="35"/>
      <c r="R5" s="18" t="str">
        <f t="shared" ref="R5:R21" si="6">IF(S5&lt;&gt;"",$AA$13,$AA$15)</f>
        <v>c</v>
      </c>
      <c r="S5" s="35"/>
      <c r="T5" s="18" t="str">
        <f t="shared" ref="T5:T21" si="7">IF(U5&lt;&gt;"",$AA$13,$AA$15)</f>
        <v>c</v>
      </c>
      <c r="U5" s="35"/>
      <c r="V5" s="31"/>
      <c r="W5" s="33"/>
    </row>
    <row r="6" spans="1:27" s="14" customFormat="1" ht="15.75" x14ac:dyDescent="0.25">
      <c r="A6">
        <f t="shared" si="0"/>
        <v>37</v>
      </c>
      <c r="B6" s="27" t="s">
        <v>40</v>
      </c>
      <c r="C6" s="43"/>
      <c r="D6" s="28"/>
      <c r="E6" s="29"/>
      <c r="F6" s="28"/>
      <c r="G6" s="30"/>
      <c r="H6" s="18" t="str">
        <f t="shared" si="1"/>
        <v>c</v>
      </c>
      <c r="I6" s="35"/>
      <c r="J6" s="18" t="str">
        <f t="shared" si="2"/>
        <v>c</v>
      </c>
      <c r="K6" s="35"/>
      <c r="L6" s="18" t="str">
        <f t="shared" si="3"/>
        <v>c</v>
      </c>
      <c r="M6" s="35"/>
      <c r="N6" s="18" t="str">
        <f t="shared" si="4"/>
        <v>c</v>
      </c>
      <c r="O6" s="35"/>
      <c r="P6" s="18" t="str">
        <f t="shared" si="5"/>
        <v>c</v>
      </c>
      <c r="Q6" s="35"/>
      <c r="R6" s="18" t="str">
        <f t="shared" si="6"/>
        <v>c</v>
      </c>
      <c r="S6" s="35"/>
      <c r="T6" s="18" t="str">
        <f t="shared" si="7"/>
        <v>c</v>
      </c>
      <c r="U6" s="35"/>
      <c r="V6" s="31"/>
      <c r="W6" s="33"/>
    </row>
    <row r="7" spans="1:27" s="14" customFormat="1" ht="15.75" x14ac:dyDescent="0.25">
      <c r="A7">
        <f t="shared" si="0"/>
        <v>43</v>
      </c>
      <c r="B7" s="27" t="s">
        <v>44</v>
      </c>
      <c r="C7" s="43"/>
      <c r="D7" s="28"/>
      <c r="E7" s="29"/>
      <c r="F7" s="28"/>
      <c r="G7" s="30"/>
      <c r="H7" s="18" t="str">
        <f t="shared" si="1"/>
        <v>c</v>
      </c>
      <c r="I7" s="35"/>
      <c r="J7" s="18" t="str">
        <f t="shared" si="2"/>
        <v>c</v>
      </c>
      <c r="K7" s="35"/>
      <c r="L7" s="18" t="str">
        <f t="shared" si="3"/>
        <v>c</v>
      </c>
      <c r="M7" s="35"/>
      <c r="N7" s="18" t="str">
        <f t="shared" si="4"/>
        <v>c</v>
      </c>
      <c r="O7" s="35"/>
      <c r="P7" s="18" t="str">
        <f t="shared" si="5"/>
        <v>c</v>
      </c>
      <c r="Q7" s="35"/>
      <c r="R7" s="18" t="str">
        <f t="shared" si="6"/>
        <v>c</v>
      </c>
      <c r="S7" s="35"/>
      <c r="T7" s="18" t="str">
        <f t="shared" si="7"/>
        <v>c</v>
      </c>
      <c r="U7" s="35"/>
      <c r="V7" s="31"/>
      <c r="W7" s="33"/>
    </row>
    <row r="8" spans="1:27" s="14" customFormat="1" ht="15.75" x14ac:dyDescent="0.25">
      <c r="A8">
        <f t="shared" si="0"/>
        <v>44</v>
      </c>
      <c r="B8" s="27" t="s">
        <v>41</v>
      </c>
      <c r="C8" s="43"/>
      <c r="D8" s="28"/>
      <c r="E8" s="29"/>
      <c r="F8" s="28"/>
      <c r="G8" s="30"/>
      <c r="H8" s="18" t="str">
        <f t="shared" si="1"/>
        <v>c</v>
      </c>
      <c r="I8" s="35"/>
      <c r="J8" s="18" t="str">
        <f t="shared" si="2"/>
        <v>c</v>
      </c>
      <c r="K8" s="35"/>
      <c r="L8" s="18" t="str">
        <f t="shared" si="3"/>
        <v>c</v>
      </c>
      <c r="M8" s="35"/>
      <c r="N8" s="18" t="str">
        <f t="shared" si="4"/>
        <v>c</v>
      </c>
      <c r="O8" s="35"/>
      <c r="P8" s="18" t="str">
        <f t="shared" si="5"/>
        <v>c</v>
      </c>
      <c r="Q8" s="35"/>
      <c r="R8" s="18" t="str">
        <f t="shared" si="6"/>
        <v>c</v>
      </c>
      <c r="S8" s="35"/>
      <c r="T8" s="18" t="str">
        <f t="shared" si="7"/>
        <v>c</v>
      </c>
      <c r="U8" s="35"/>
      <c r="V8" s="31"/>
      <c r="W8" s="33"/>
    </row>
    <row r="9" spans="1:27" s="14" customFormat="1" ht="15.75" x14ac:dyDescent="0.25">
      <c r="A9">
        <f t="shared" si="0"/>
        <v>64</v>
      </c>
      <c r="B9" s="27" t="s">
        <v>39</v>
      </c>
      <c r="C9" s="43">
        <v>8632792446</v>
      </c>
      <c r="D9" s="32">
        <v>52781</v>
      </c>
      <c r="E9" s="29">
        <v>43434</v>
      </c>
      <c r="F9" s="33" t="s">
        <v>55</v>
      </c>
      <c r="G9" s="30">
        <v>40</v>
      </c>
      <c r="H9" s="18" t="str">
        <f t="shared" si="1"/>
        <v>a</v>
      </c>
      <c r="I9" s="35" t="s">
        <v>91</v>
      </c>
      <c r="J9" s="18" t="str">
        <f t="shared" si="2"/>
        <v>a</v>
      </c>
      <c r="K9" s="35" t="s">
        <v>91</v>
      </c>
      <c r="L9" s="18" t="str">
        <f t="shared" si="3"/>
        <v>a</v>
      </c>
      <c r="M9" s="35" t="s">
        <v>91</v>
      </c>
      <c r="N9" s="18" t="str">
        <f t="shared" si="4"/>
        <v>a</v>
      </c>
      <c r="O9" s="35" t="s">
        <v>91</v>
      </c>
      <c r="P9" s="18" t="str">
        <f t="shared" si="5"/>
        <v>a</v>
      </c>
      <c r="Q9" s="35" t="s">
        <v>91</v>
      </c>
      <c r="R9" s="18" t="str">
        <f t="shared" si="6"/>
        <v>a</v>
      </c>
      <c r="S9" s="35" t="s">
        <v>91</v>
      </c>
      <c r="T9" s="18" t="str">
        <f t="shared" si="7"/>
        <v>a</v>
      </c>
      <c r="U9" s="35" t="s">
        <v>91</v>
      </c>
      <c r="V9" s="31" t="s">
        <v>89</v>
      </c>
      <c r="W9" s="33" t="s">
        <v>90</v>
      </c>
    </row>
    <row r="10" spans="1:27" s="14" customFormat="1" ht="15.75" x14ac:dyDescent="0.25">
      <c r="A10">
        <f t="shared" si="0"/>
        <v>93</v>
      </c>
      <c r="B10" s="27" t="s">
        <v>45</v>
      </c>
      <c r="C10" s="43"/>
      <c r="D10" s="28"/>
      <c r="E10" s="29"/>
      <c r="F10" s="28"/>
      <c r="G10" s="30"/>
      <c r="H10" s="18" t="str">
        <f t="shared" si="1"/>
        <v>c</v>
      </c>
      <c r="I10" s="35"/>
      <c r="J10" s="18" t="str">
        <f t="shared" si="2"/>
        <v>c</v>
      </c>
      <c r="K10" s="35"/>
      <c r="L10" s="18" t="str">
        <f t="shared" si="3"/>
        <v>c</v>
      </c>
      <c r="M10" s="35"/>
      <c r="N10" s="18" t="str">
        <f t="shared" si="4"/>
        <v>c</v>
      </c>
      <c r="O10" s="35"/>
      <c r="P10" s="18" t="str">
        <f t="shared" si="5"/>
        <v>c</v>
      </c>
      <c r="Q10" s="35"/>
      <c r="R10" s="18" t="str">
        <f t="shared" si="6"/>
        <v>c</v>
      </c>
      <c r="S10" s="35"/>
      <c r="T10" s="18" t="str">
        <f t="shared" si="7"/>
        <v>c</v>
      </c>
      <c r="U10" s="35"/>
      <c r="V10" s="31"/>
      <c r="W10" s="33"/>
    </row>
    <row r="11" spans="1:27" s="14" customFormat="1" ht="15.75" x14ac:dyDescent="0.25">
      <c r="A11">
        <f t="shared" si="0"/>
        <v>126</v>
      </c>
      <c r="B11" s="27" t="s">
        <v>42</v>
      </c>
      <c r="C11" s="43"/>
      <c r="D11" s="28"/>
      <c r="E11" s="29"/>
      <c r="F11" s="28"/>
      <c r="G11" s="30"/>
      <c r="H11" s="18" t="str">
        <f t="shared" si="1"/>
        <v>c</v>
      </c>
      <c r="I11" s="35"/>
      <c r="J11" s="18" t="str">
        <f t="shared" si="2"/>
        <v>c</v>
      </c>
      <c r="K11" s="35"/>
      <c r="L11" s="18" t="str">
        <f t="shared" si="3"/>
        <v>c</v>
      </c>
      <c r="M11" s="35"/>
      <c r="N11" s="18" t="str">
        <f t="shared" si="4"/>
        <v>c</v>
      </c>
      <c r="O11" s="35"/>
      <c r="P11" s="18" t="str">
        <f t="shared" si="5"/>
        <v>c</v>
      </c>
      <c r="Q11" s="35"/>
      <c r="R11" s="18" t="str">
        <f t="shared" si="6"/>
        <v>c</v>
      </c>
      <c r="S11" s="35"/>
      <c r="T11" s="18" t="str">
        <f t="shared" si="7"/>
        <v>c</v>
      </c>
      <c r="U11" s="35"/>
      <c r="V11" s="31"/>
      <c r="W11" s="33"/>
    </row>
    <row r="12" spans="1:27" s="14" customFormat="1" ht="15.75" x14ac:dyDescent="0.25">
      <c r="A12">
        <f t="shared" si="0"/>
        <v>155</v>
      </c>
      <c r="B12" s="27" t="s">
        <v>110</v>
      </c>
      <c r="C12" s="43"/>
      <c r="D12" s="28"/>
      <c r="E12" s="29"/>
      <c r="F12" s="28"/>
      <c r="G12" s="30"/>
      <c r="H12" s="18" t="str">
        <f t="shared" si="1"/>
        <v>c</v>
      </c>
      <c r="I12" s="35"/>
      <c r="J12" s="18" t="str">
        <f t="shared" si="2"/>
        <v>c</v>
      </c>
      <c r="K12" s="35"/>
      <c r="L12" s="18" t="str">
        <f t="shared" si="3"/>
        <v>c</v>
      </c>
      <c r="M12" s="35"/>
      <c r="N12" s="18" t="str">
        <f t="shared" si="4"/>
        <v>c</v>
      </c>
      <c r="O12" s="35"/>
      <c r="P12" s="18" t="str">
        <f t="shared" si="5"/>
        <v>c</v>
      </c>
      <c r="Q12" s="35"/>
      <c r="R12" s="18" t="str">
        <f t="shared" si="6"/>
        <v>c</v>
      </c>
      <c r="S12" s="35"/>
      <c r="T12" s="18" t="str">
        <f t="shared" si="7"/>
        <v>c</v>
      </c>
      <c r="U12" s="35"/>
      <c r="V12" s="31"/>
      <c r="W12" s="33"/>
    </row>
    <row r="13" spans="1:27" ht="15.75" x14ac:dyDescent="0.25">
      <c r="A13">
        <f t="shared" si="0"/>
        <v>156</v>
      </c>
      <c r="B13" s="27" t="s">
        <v>43</v>
      </c>
      <c r="C13" s="43"/>
      <c r="D13" s="28"/>
      <c r="E13" s="29"/>
      <c r="F13" s="28"/>
      <c r="G13" s="30"/>
      <c r="H13" s="18" t="str">
        <f t="shared" si="1"/>
        <v>c</v>
      </c>
      <c r="I13" s="35"/>
      <c r="J13" s="18" t="str">
        <f t="shared" si="2"/>
        <v>c</v>
      </c>
      <c r="K13" s="35"/>
      <c r="L13" s="18" t="str">
        <f t="shared" si="3"/>
        <v>c</v>
      </c>
      <c r="M13" s="35"/>
      <c r="N13" s="18" t="str">
        <f t="shared" si="4"/>
        <v>c</v>
      </c>
      <c r="O13" s="35"/>
      <c r="P13" s="18" t="str">
        <f t="shared" si="5"/>
        <v>c</v>
      </c>
      <c r="Q13" s="35"/>
      <c r="R13" s="18" t="str">
        <f t="shared" si="6"/>
        <v>c</v>
      </c>
      <c r="S13" s="35"/>
      <c r="T13" s="18" t="str">
        <f t="shared" si="7"/>
        <v>c</v>
      </c>
      <c r="U13" s="35"/>
      <c r="V13" s="31"/>
      <c r="W13" s="33"/>
      <c r="AA13" s="12" t="s">
        <v>62</v>
      </c>
    </row>
    <row r="14" spans="1:27" ht="15.75" x14ac:dyDescent="0.25">
      <c r="A14">
        <f t="shared" si="0"/>
        <v>179</v>
      </c>
      <c r="B14" s="27" t="s">
        <v>85</v>
      </c>
      <c r="C14" s="43"/>
      <c r="D14" s="28"/>
      <c r="E14" s="29"/>
      <c r="F14" s="28"/>
      <c r="G14" s="30"/>
      <c r="H14" s="18" t="str">
        <f t="shared" si="1"/>
        <v>c</v>
      </c>
      <c r="I14" s="35"/>
      <c r="J14" s="18" t="str">
        <f t="shared" si="2"/>
        <v>c</v>
      </c>
      <c r="K14" s="35"/>
      <c r="L14" s="18" t="str">
        <f t="shared" si="3"/>
        <v>c</v>
      </c>
      <c r="M14" s="35"/>
      <c r="N14" s="18" t="str">
        <f t="shared" si="4"/>
        <v>c</v>
      </c>
      <c r="O14" s="35"/>
      <c r="P14" s="18" t="str">
        <f t="shared" si="5"/>
        <v>c</v>
      </c>
      <c r="Q14" s="35"/>
      <c r="R14" s="18" t="str">
        <f t="shared" si="6"/>
        <v>c</v>
      </c>
      <c r="S14" s="35"/>
      <c r="T14" s="18" t="str">
        <f t="shared" si="7"/>
        <v>c</v>
      </c>
      <c r="U14" s="35"/>
      <c r="V14" s="31"/>
      <c r="W14" s="33"/>
      <c r="AA14" s="12"/>
    </row>
    <row r="15" spans="1:27" ht="15.75" x14ac:dyDescent="0.25">
      <c r="A15">
        <f t="shared" si="0"/>
        <v>181</v>
      </c>
      <c r="B15" s="59" t="s">
        <v>71</v>
      </c>
      <c r="C15" s="36"/>
      <c r="D15" s="16"/>
      <c r="E15" s="16"/>
      <c r="F15" s="16"/>
      <c r="G15" s="16"/>
      <c r="H15" s="18" t="str">
        <f t="shared" si="1"/>
        <v>c</v>
      </c>
      <c r="I15" s="35"/>
      <c r="J15" s="18" t="str">
        <f t="shared" si="2"/>
        <v>c</v>
      </c>
      <c r="K15" s="35"/>
      <c r="L15" s="18" t="str">
        <f t="shared" si="3"/>
        <v>c</v>
      </c>
      <c r="M15" s="35"/>
      <c r="N15" s="18" t="str">
        <f t="shared" si="4"/>
        <v>c</v>
      </c>
      <c r="O15" s="35"/>
      <c r="P15" s="18" t="str">
        <f t="shared" si="5"/>
        <v>c</v>
      </c>
      <c r="Q15" s="35"/>
      <c r="R15" s="18" t="str">
        <f t="shared" si="6"/>
        <v>c</v>
      </c>
      <c r="S15" s="35"/>
      <c r="T15" s="18" t="str">
        <f t="shared" si="7"/>
        <v>c</v>
      </c>
      <c r="U15" s="35"/>
      <c r="V15" s="31"/>
      <c r="W15" s="33"/>
      <c r="AA15" s="13" t="s">
        <v>63</v>
      </c>
    </row>
    <row r="16" spans="1:27" ht="15.75" x14ac:dyDescent="0.25">
      <c r="A16">
        <f t="shared" si="0"/>
        <v>185</v>
      </c>
      <c r="B16" s="27" t="s">
        <v>88</v>
      </c>
      <c r="C16" s="43"/>
      <c r="D16" s="28"/>
      <c r="E16" s="29"/>
      <c r="F16" s="28"/>
      <c r="G16" s="31"/>
      <c r="H16" s="18" t="str">
        <f t="shared" si="1"/>
        <v>c</v>
      </c>
      <c r="I16" s="35"/>
      <c r="J16" s="18" t="str">
        <f t="shared" si="2"/>
        <v>c</v>
      </c>
      <c r="K16" s="35"/>
      <c r="L16" s="18" t="str">
        <f t="shared" si="3"/>
        <v>c</v>
      </c>
      <c r="M16" s="35"/>
      <c r="N16" s="18" t="str">
        <f t="shared" si="4"/>
        <v>c</v>
      </c>
      <c r="O16" s="35"/>
      <c r="P16" s="18" t="str">
        <f t="shared" si="5"/>
        <v>c</v>
      </c>
      <c r="Q16" s="35"/>
      <c r="R16" s="18" t="str">
        <f t="shared" si="6"/>
        <v>c</v>
      </c>
      <c r="S16" s="35"/>
      <c r="T16" s="18" t="str">
        <f t="shared" si="7"/>
        <v>c</v>
      </c>
      <c r="U16" s="35"/>
      <c r="V16" s="31"/>
      <c r="W16" s="33"/>
    </row>
    <row r="17" spans="1:23" ht="15.75" x14ac:dyDescent="0.25">
      <c r="A17">
        <f t="shared" si="0"/>
        <v>187</v>
      </c>
      <c r="B17" s="27" t="s">
        <v>87</v>
      </c>
      <c r="C17" s="43"/>
      <c r="D17" s="28"/>
      <c r="E17" s="29"/>
      <c r="F17" s="28"/>
      <c r="G17" s="31"/>
      <c r="H17" s="18" t="str">
        <f t="shared" si="1"/>
        <v>c</v>
      </c>
      <c r="I17" s="35"/>
      <c r="J17" s="18" t="str">
        <f t="shared" si="2"/>
        <v>c</v>
      </c>
      <c r="K17" s="35"/>
      <c r="L17" s="18" t="str">
        <f t="shared" si="3"/>
        <v>c</v>
      </c>
      <c r="M17" s="35"/>
      <c r="N17" s="18" t="str">
        <f t="shared" si="4"/>
        <v>c</v>
      </c>
      <c r="O17" s="35"/>
      <c r="P17" s="18" t="str">
        <f t="shared" si="5"/>
        <v>c</v>
      </c>
      <c r="Q17" s="35"/>
      <c r="R17" s="18" t="str">
        <f t="shared" si="6"/>
        <v>c</v>
      </c>
      <c r="S17" s="35"/>
      <c r="T17" s="18" t="str">
        <f t="shared" si="7"/>
        <v>c</v>
      </c>
      <c r="U17" s="35"/>
      <c r="V17" s="31"/>
      <c r="W17" s="33"/>
    </row>
    <row r="18" spans="1:23" ht="15.75" x14ac:dyDescent="0.25">
      <c r="A18">
        <f t="shared" si="0"/>
        <v>201</v>
      </c>
      <c r="B18" s="27" t="s">
        <v>111</v>
      </c>
      <c r="C18" s="214"/>
      <c r="D18" s="28"/>
      <c r="E18" s="29"/>
      <c r="F18" s="28"/>
      <c r="G18" s="31"/>
      <c r="H18" s="18" t="str">
        <f t="shared" si="1"/>
        <v>c</v>
      </c>
      <c r="I18" s="35"/>
      <c r="J18" s="18" t="str">
        <f t="shared" si="2"/>
        <v>c</v>
      </c>
      <c r="K18" s="35"/>
      <c r="L18" s="18" t="str">
        <f t="shared" si="3"/>
        <v>c</v>
      </c>
      <c r="M18" s="35"/>
      <c r="N18" s="18" t="str">
        <f t="shared" si="4"/>
        <v>c</v>
      </c>
      <c r="O18" s="35"/>
      <c r="P18" s="18" t="str">
        <f t="shared" si="5"/>
        <v>c</v>
      </c>
      <c r="Q18" s="35"/>
      <c r="R18" s="18" t="str">
        <f t="shared" si="6"/>
        <v>c</v>
      </c>
      <c r="S18" s="35"/>
      <c r="T18" s="18" t="str">
        <f t="shared" si="7"/>
        <v>c</v>
      </c>
      <c r="U18" s="35"/>
      <c r="V18" s="31"/>
      <c r="W18" s="33"/>
    </row>
    <row r="19" spans="1:23" ht="15.75" x14ac:dyDescent="0.25">
      <c r="A19">
        <f t="shared" si="0"/>
        <v>202</v>
      </c>
      <c r="B19" s="27" t="s">
        <v>112</v>
      </c>
      <c r="C19" s="214"/>
      <c r="D19" s="28"/>
      <c r="E19" s="29"/>
      <c r="F19" s="28"/>
      <c r="G19" s="31"/>
      <c r="H19" s="18" t="str">
        <f t="shared" si="1"/>
        <v>c</v>
      </c>
      <c r="I19" s="35"/>
      <c r="J19" s="18" t="str">
        <f t="shared" si="2"/>
        <v>c</v>
      </c>
      <c r="K19" s="35"/>
      <c r="L19" s="18" t="str">
        <f t="shared" si="3"/>
        <v>c</v>
      </c>
      <c r="M19" s="35"/>
      <c r="N19" s="18" t="str">
        <f t="shared" si="4"/>
        <v>c</v>
      </c>
      <c r="O19" s="35"/>
      <c r="P19" s="18" t="str">
        <f t="shared" si="5"/>
        <v>c</v>
      </c>
      <c r="Q19" s="35"/>
      <c r="R19" s="18" t="str">
        <f t="shared" si="6"/>
        <v>c</v>
      </c>
      <c r="S19" s="35"/>
      <c r="T19" s="18" t="str">
        <f t="shared" si="7"/>
        <v>c</v>
      </c>
      <c r="U19" s="35"/>
      <c r="V19" s="31"/>
      <c r="W19" s="33"/>
    </row>
    <row r="20" spans="1:23" ht="15.75" x14ac:dyDescent="0.25">
      <c r="A20">
        <f>IFERROR(MID(B20,LEN(B20)-2,LEN(B20))*1,0)</f>
        <v>0</v>
      </c>
      <c r="B20" s="27" t="s">
        <v>96</v>
      </c>
      <c r="C20" s="43"/>
      <c r="D20" s="28"/>
      <c r="E20" s="29"/>
      <c r="F20" s="28"/>
      <c r="G20" s="31"/>
      <c r="H20" s="18" t="str">
        <f t="shared" si="1"/>
        <v>c</v>
      </c>
      <c r="I20" s="35"/>
      <c r="J20" s="18" t="str">
        <f t="shared" si="2"/>
        <v>c</v>
      </c>
      <c r="K20" s="35"/>
      <c r="L20" s="18" t="str">
        <f t="shared" si="3"/>
        <v>c</v>
      </c>
      <c r="M20" s="35"/>
      <c r="N20" s="18" t="str">
        <f t="shared" si="4"/>
        <v>c</v>
      </c>
      <c r="O20" s="35"/>
      <c r="P20" s="18" t="str">
        <f t="shared" si="5"/>
        <v>c</v>
      </c>
      <c r="Q20" s="35"/>
      <c r="R20" s="18" t="str">
        <f t="shared" si="6"/>
        <v>c</v>
      </c>
      <c r="S20" s="35"/>
      <c r="T20" s="18" t="str">
        <f t="shared" si="7"/>
        <v>c</v>
      </c>
      <c r="U20" s="35"/>
      <c r="V20" s="31"/>
      <c r="W20" s="33"/>
    </row>
    <row r="21" spans="1:23" ht="15.75" x14ac:dyDescent="0.25">
      <c r="B21" s="34" t="s">
        <v>49</v>
      </c>
      <c r="C21" s="44"/>
      <c r="D21" s="28"/>
      <c r="E21" s="31"/>
      <c r="F21" s="28"/>
      <c r="G21" s="31"/>
      <c r="H21" s="18" t="str">
        <f t="shared" si="1"/>
        <v>c</v>
      </c>
      <c r="I21" s="35"/>
      <c r="J21" s="18" t="str">
        <f t="shared" si="2"/>
        <v>c</v>
      </c>
      <c r="K21" s="35"/>
      <c r="L21" s="18" t="str">
        <f t="shared" si="3"/>
        <v>c</v>
      </c>
      <c r="M21" s="35"/>
      <c r="N21" s="18" t="str">
        <f t="shared" si="4"/>
        <v>c</v>
      </c>
      <c r="O21" s="35"/>
      <c r="P21" s="18" t="str">
        <f t="shared" si="5"/>
        <v>c</v>
      </c>
      <c r="Q21" s="35"/>
      <c r="R21" s="18" t="str">
        <f t="shared" si="6"/>
        <v>c</v>
      </c>
      <c r="S21" s="35"/>
      <c r="T21" s="18" t="str">
        <f t="shared" si="7"/>
        <v>c</v>
      </c>
      <c r="U21" s="35"/>
      <c r="V21" s="31"/>
      <c r="W21" s="33"/>
    </row>
    <row r="22" spans="1:23" ht="16.5" customHeight="1" x14ac:dyDescent="0.25">
      <c r="B22" t="b">
        <f>ISTEXT(A19)</f>
        <v>0</v>
      </c>
    </row>
    <row r="24" spans="1:23" ht="15.75" x14ac:dyDescent="0.25">
      <c r="B24" s="3" t="s">
        <v>20</v>
      </c>
      <c r="C24" s="38" t="s">
        <v>21</v>
      </c>
      <c r="D24" s="38" t="s">
        <v>107</v>
      </c>
      <c r="F24" s="17" t="s">
        <v>97</v>
      </c>
      <c r="G24" s="170" t="s">
        <v>98</v>
      </c>
    </row>
    <row r="25" spans="1:23" ht="15.75" x14ac:dyDescent="0.25">
      <c r="B25" s="9" t="s">
        <v>3</v>
      </c>
      <c r="C25" s="39" t="s">
        <v>0</v>
      </c>
      <c r="D25" s="39"/>
      <c r="F25">
        <v>1</v>
      </c>
      <c r="G25" s="171" t="s">
        <v>102</v>
      </c>
    </row>
    <row r="26" spans="1:23" ht="15.75" x14ac:dyDescent="0.25">
      <c r="B26" s="9" t="s">
        <v>22</v>
      </c>
      <c r="C26" s="39" t="s">
        <v>23</v>
      </c>
      <c r="D26" s="39"/>
      <c r="F26">
        <v>2</v>
      </c>
      <c r="G26" s="171" t="s">
        <v>99</v>
      </c>
    </row>
    <row r="27" spans="1:23" ht="15.75" x14ac:dyDescent="0.25">
      <c r="B27" s="9" t="s">
        <v>22</v>
      </c>
      <c r="C27" s="39" t="s">
        <v>92</v>
      </c>
      <c r="D27" s="39"/>
      <c r="F27">
        <v>3</v>
      </c>
      <c r="G27" s="37" t="s">
        <v>100</v>
      </c>
    </row>
    <row r="28" spans="1:23" ht="15.75" x14ac:dyDescent="0.25">
      <c r="B28" s="9" t="s">
        <v>22</v>
      </c>
      <c r="C28" s="39" t="s">
        <v>1</v>
      </c>
      <c r="D28" s="39"/>
      <c r="F28">
        <v>4</v>
      </c>
      <c r="G28" s="171" t="s">
        <v>101</v>
      </c>
    </row>
    <row r="29" spans="1:23" ht="15.75" x14ac:dyDescent="0.25">
      <c r="B29" s="9" t="s">
        <v>2</v>
      </c>
      <c r="C29" s="39" t="s">
        <v>95</v>
      </c>
      <c r="D29" s="39"/>
      <c r="F29" s="45">
        <v>5</v>
      </c>
      <c r="G29" s="172" t="s">
        <v>103</v>
      </c>
    </row>
    <row r="30" spans="1:23" ht="15.75" x14ac:dyDescent="0.25">
      <c r="B30" s="9" t="s">
        <v>2</v>
      </c>
      <c r="C30" s="39" t="s">
        <v>68</v>
      </c>
      <c r="D30" s="39"/>
      <c r="F30" s="206">
        <f>SUBTOTAL(109,Tabla25[No])</f>
        <v>15</v>
      </c>
      <c r="G30" s="206"/>
    </row>
    <row r="31" spans="1:23" ht="15.75" x14ac:dyDescent="0.25">
      <c r="B31" s="9" t="s">
        <v>2</v>
      </c>
      <c r="C31" s="39" t="s">
        <v>69</v>
      </c>
      <c r="D31" s="39"/>
      <c r="F31" s="17" t="s">
        <v>104</v>
      </c>
      <c r="G31"/>
      <c r="U31" s="17"/>
      <c r="V31"/>
    </row>
    <row r="32" spans="1:23" ht="15.75" x14ac:dyDescent="0.25">
      <c r="B32" s="9" t="s">
        <v>24</v>
      </c>
      <c r="C32" s="39" t="s">
        <v>25</v>
      </c>
      <c r="D32" s="39"/>
      <c r="F32" s="17">
        <v>0</v>
      </c>
      <c r="G32"/>
      <c r="U32" s="17"/>
      <c r="V32"/>
    </row>
    <row r="33" spans="2:22" ht="15.75" x14ac:dyDescent="0.25">
      <c r="B33" s="10" t="s">
        <v>26</v>
      </c>
      <c r="C33" s="40" t="s">
        <v>27</v>
      </c>
      <c r="D33" s="40"/>
      <c r="F33" s="17">
        <v>2</v>
      </c>
      <c r="G33"/>
      <c r="T33" s="17"/>
      <c r="V33"/>
    </row>
    <row r="34" spans="2:22" ht="15.75" x14ac:dyDescent="0.25">
      <c r="B34" s="10" t="s">
        <v>26</v>
      </c>
      <c r="C34" s="41" t="s">
        <v>36</v>
      </c>
      <c r="D34" s="41"/>
      <c r="F34" s="17">
        <v>4</v>
      </c>
      <c r="G34"/>
      <c r="T34" s="17"/>
      <c r="V34"/>
    </row>
    <row r="35" spans="2:22" ht="15.75" x14ac:dyDescent="0.25">
      <c r="B35" s="11" t="s">
        <v>28</v>
      </c>
      <c r="C35" s="42" t="s">
        <v>29</v>
      </c>
      <c r="D35" s="42"/>
      <c r="F35" s="17">
        <v>6</v>
      </c>
      <c r="G35"/>
      <c r="T35" s="17"/>
      <c r="V35"/>
    </row>
    <row r="36" spans="2:22" ht="15.75" x14ac:dyDescent="0.25">
      <c r="F36" s="17">
        <v>6.5</v>
      </c>
      <c r="G36"/>
      <c r="T36" s="17"/>
      <c r="V36"/>
    </row>
    <row r="37" spans="2:22" ht="16.5" customHeight="1" x14ac:dyDescent="0.25">
      <c r="F37" s="17">
        <v>7</v>
      </c>
      <c r="G37"/>
      <c r="T37" s="17"/>
      <c r="V37"/>
    </row>
    <row r="38" spans="2:22" ht="16.5" customHeight="1" x14ac:dyDescent="0.25">
      <c r="B38" s="47" t="s">
        <v>13</v>
      </c>
      <c r="C38" s="48">
        <v>60029</v>
      </c>
      <c r="F38" s="17">
        <v>7.5</v>
      </c>
      <c r="G38"/>
      <c r="I38" s="49"/>
      <c r="J38" s="49"/>
      <c r="T38" s="17"/>
      <c r="V38"/>
    </row>
    <row r="39" spans="2:22" ht="16.5" customHeight="1" x14ac:dyDescent="0.25">
      <c r="B39" s="47" t="s">
        <v>12</v>
      </c>
      <c r="C39" s="43" t="s">
        <v>11</v>
      </c>
      <c r="D39" s="50"/>
      <c r="E39" s="51"/>
      <c r="F39" s="17">
        <v>8</v>
      </c>
      <c r="G39" s="52"/>
      <c r="H39" s="52"/>
      <c r="I39" s="52"/>
      <c r="J39" s="52"/>
      <c r="T39" s="17"/>
      <c r="V39"/>
    </row>
    <row r="40" spans="2:22" ht="16.5" customHeight="1" x14ac:dyDescent="0.25">
      <c r="B40" s="45"/>
      <c r="C40" s="46"/>
      <c r="D40" s="45"/>
      <c r="E40" s="45"/>
      <c r="F40" s="17">
        <v>9</v>
      </c>
      <c r="G40"/>
      <c r="T40" s="17"/>
      <c r="V40"/>
    </row>
    <row r="41" spans="2:22" ht="16.5" customHeight="1" x14ac:dyDescent="0.25">
      <c r="B41" t="s">
        <v>119</v>
      </c>
      <c r="D41" t="s">
        <v>127</v>
      </c>
      <c r="F41" s="17">
        <v>9.5</v>
      </c>
      <c r="G41"/>
      <c r="U41" s="17"/>
      <c r="V41"/>
    </row>
    <row r="42" spans="2:22" ht="16.5" customHeight="1" x14ac:dyDescent="0.25">
      <c r="B42" t="s">
        <v>120</v>
      </c>
      <c r="D42">
        <v>3501</v>
      </c>
      <c r="F42" s="17">
        <v>10</v>
      </c>
      <c r="G42"/>
      <c r="U42" s="17"/>
      <c r="V42"/>
    </row>
    <row r="43" spans="2:22" ht="16.5" customHeight="1" x14ac:dyDescent="0.25">
      <c r="B43" t="s">
        <v>121</v>
      </c>
      <c r="D43">
        <v>3502</v>
      </c>
      <c r="F43" s="17">
        <v>11</v>
      </c>
      <c r="G43"/>
      <c r="U43" s="17"/>
      <c r="V43"/>
    </row>
    <row r="44" spans="2:22" ht="16.5" customHeight="1" x14ac:dyDescent="0.25">
      <c r="B44" t="s">
        <v>122</v>
      </c>
      <c r="D44">
        <v>3507</v>
      </c>
      <c r="F44" s="17">
        <v>11.5</v>
      </c>
      <c r="G44"/>
      <c r="U44" s="17"/>
      <c r="V44"/>
    </row>
    <row r="45" spans="2:22" ht="16.5" customHeight="1" x14ac:dyDescent="0.25">
      <c r="B45" t="s">
        <v>123</v>
      </c>
      <c r="F45" s="189">
        <v>12</v>
      </c>
      <c r="G45"/>
      <c r="U45" s="17"/>
      <c r="V45"/>
    </row>
    <row r="46" spans="2:22" ht="16.5" customHeight="1" x14ac:dyDescent="0.25">
      <c r="F46" s="189">
        <v>12.5</v>
      </c>
      <c r="G46"/>
      <c r="U46" s="17"/>
      <c r="V46"/>
    </row>
    <row r="47" spans="2:22" ht="16.5" customHeight="1" x14ac:dyDescent="0.25">
      <c r="F47" s="189">
        <v>13</v>
      </c>
      <c r="G47"/>
      <c r="U47" s="17"/>
      <c r="V47"/>
    </row>
    <row r="48" spans="2:22" ht="16.5" customHeight="1" x14ac:dyDescent="0.25">
      <c r="F48" s="189">
        <v>13.5</v>
      </c>
      <c r="G48"/>
      <c r="U48" s="17"/>
      <c r="V48"/>
    </row>
    <row r="49" spans="6:22" ht="16.5" customHeight="1" x14ac:dyDescent="0.25">
      <c r="F49" s="189">
        <v>14</v>
      </c>
      <c r="G49"/>
      <c r="U49" s="17"/>
      <c r="V49"/>
    </row>
    <row r="50" spans="6:22" ht="16.5" customHeight="1" x14ac:dyDescent="0.25">
      <c r="F50" s="189">
        <v>14.5</v>
      </c>
      <c r="G50"/>
      <c r="U50" s="17"/>
      <c r="V50"/>
    </row>
    <row r="51" spans="6:22" ht="16.5" customHeight="1" x14ac:dyDescent="0.25">
      <c r="F51" s="189">
        <v>15</v>
      </c>
      <c r="G51"/>
      <c r="U51" s="17"/>
      <c r="V51"/>
    </row>
    <row r="52" spans="6:22" ht="16.5" customHeight="1" x14ac:dyDescent="0.25">
      <c r="F52" s="189">
        <v>15.5</v>
      </c>
      <c r="G52"/>
      <c r="U52" s="17"/>
      <c r="V52"/>
    </row>
    <row r="53" spans="6:22" ht="16.5" customHeight="1" x14ac:dyDescent="0.25">
      <c r="F53" s="189">
        <v>16</v>
      </c>
      <c r="G53"/>
      <c r="U53" s="17"/>
      <c r="V53"/>
    </row>
    <row r="54" spans="6:22" ht="16.5" customHeight="1" x14ac:dyDescent="0.25">
      <c r="G54"/>
      <c r="U54" s="17"/>
      <c r="V54"/>
    </row>
    <row r="55" spans="6:22" ht="16.5" customHeight="1" x14ac:dyDescent="0.25">
      <c r="G55" s="170"/>
    </row>
    <row r="56" spans="6:22" ht="16.5" customHeight="1" x14ac:dyDescent="0.25">
      <c r="G56" s="170"/>
    </row>
    <row r="57" spans="6:22" ht="16.5" customHeight="1" x14ac:dyDescent="0.25">
      <c r="G57" s="170"/>
    </row>
    <row r="58" spans="6:22" ht="16.5" customHeight="1" x14ac:dyDescent="0.25">
      <c r="G58" s="170"/>
    </row>
    <row r="59" spans="6:22" ht="16.5" customHeight="1" x14ac:dyDescent="0.25">
      <c r="G59" s="170"/>
    </row>
    <row r="60" spans="6:22" ht="16.5" customHeight="1" x14ac:dyDescent="0.25">
      <c r="G60" s="170"/>
    </row>
    <row r="61" spans="6:22" ht="16.5" customHeight="1" x14ac:dyDescent="0.25">
      <c r="G61" s="170"/>
    </row>
    <row r="62" spans="6:22" ht="16.5" customHeight="1" x14ac:dyDescent="0.25">
      <c r="G62" s="170"/>
    </row>
    <row r="63" spans="6:22" ht="16.5" customHeight="1" x14ac:dyDescent="0.25">
      <c r="G63" s="170"/>
    </row>
    <row r="64" spans="6:22" ht="16.5" customHeight="1" x14ac:dyDescent="0.25">
      <c r="G64" s="170"/>
    </row>
    <row r="65" spans="7:7" ht="16.5" customHeight="1" x14ac:dyDescent="0.25">
      <c r="G65" s="170"/>
    </row>
    <row r="66" spans="7:7" ht="16.5" customHeight="1" x14ac:dyDescent="0.25">
      <c r="G66" s="170"/>
    </row>
    <row r="67" spans="7:7" ht="16.5" customHeight="1" x14ac:dyDescent="0.25">
      <c r="G67" s="170"/>
    </row>
    <row r="68" spans="7:7" ht="16.5" customHeight="1" x14ac:dyDescent="0.25">
      <c r="G68" s="170"/>
    </row>
    <row r="69" spans="7:7" ht="16.5" customHeight="1" x14ac:dyDescent="0.25">
      <c r="G69" s="170"/>
    </row>
    <row r="70" spans="7:7" ht="16.5" customHeight="1" x14ac:dyDescent="0.25">
      <c r="G70" s="170"/>
    </row>
    <row r="71" spans="7:7" ht="16.5" customHeight="1" x14ac:dyDescent="0.25">
      <c r="G71" s="170"/>
    </row>
    <row r="72" spans="7:7" ht="16.5" customHeight="1" x14ac:dyDescent="0.25">
      <c r="G72" s="170"/>
    </row>
    <row r="73" spans="7:7" ht="16.5" customHeight="1" x14ac:dyDescent="0.25">
      <c r="G73" s="170"/>
    </row>
    <row r="74" spans="7:7" ht="16.5" customHeight="1" x14ac:dyDescent="0.25">
      <c r="G74" s="170"/>
    </row>
    <row r="75" spans="7:7" ht="16.5" customHeight="1" x14ac:dyDescent="0.25">
      <c r="G75" s="170"/>
    </row>
    <row r="76" spans="7:7" ht="16.5" customHeight="1" x14ac:dyDescent="0.25">
      <c r="G76" s="170"/>
    </row>
    <row r="77" spans="7:7" ht="16.5" customHeight="1" x14ac:dyDescent="0.25">
      <c r="G77" s="170"/>
    </row>
    <row r="78" spans="7:7" ht="16.5" customHeight="1" x14ac:dyDescent="0.25">
      <c r="G78" s="170"/>
    </row>
    <row r="79" spans="7:7" ht="16.5" customHeight="1" x14ac:dyDescent="0.25">
      <c r="G79" s="170"/>
    </row>
    <row r="80" spans="7:7" ht="16.5" customHeight="1" x14ac:dyDescent="0.25">
      <c r="G80" s="170"/>
    </row>
    <row r="81" spans="7:7" ht="16.5" customHeight="1" x14ac:dyDescent="0.25">
      <c r="G81" s="170"/>
    </row>
    <row r="82" spans="7:7" ht="16.5" customHeight="1" x14ac:dyDescent="0.25">
      <c r="G82" s="170"/>
    </row>
    <row r="83" spans="7:7" ht="16.5" customHeight="1" x14ac:dyDescent="0.25">
      <c r="G83" s="170"/>
    </row>
    <row r="84" spans="7:7" ht="16.5" customHeight="1" x14ac:dyDescent="0.25">
      <c r="G84" s="170"/>
    </row>
    <row r="85" spans="7:7" ht="16.5" customHeight="1" x14ac:dyDescent="0.25">
      <c r="G85" s="170"/>
    </row>
    <row r="86" spans="7:7" ht="16.5" customHeight="1" x14ac:dyDescent="0.25">
      <c r="G86" s="170"/>
    </row>
    <row r="87" spans="7:7" ht="16.5" customHeight="1" x14ac:dyDescent="0.25">
      <c r="G87" s="170"/>
    </row>
    <row r="88" spans="7:7" ht="16.5" customHeight="1" x14ac:dyDescent="0.25">
      <c r="G88" s="187" t="s">
        <v>108</v>
      </c>
    </row>
    <row r="89" spans="7:7" ht="16.5" customHeight="1" x14ac:dyDescent="0.25">
      <c r="G89" s="186" t="s">
        <v>109</v>
      </c>
    </row>
    <row r="98" spans="6:7" ht="16.5" customHeight="1" x14ac:dyDescent="0.25">
      <c r="F98" s="185">
        <v>3.5</v>
      </c>
    </row>
    <row r="99" spans="6:7" ht="16.5" customHeight="1" x14ac:dyDescent="0.25">
      <c r="F99" s="184">
        <v>4</v>
      </c>
    </row>
    <row r="102" spans="6:7" ht="16.5" customHeight="1" x14ac:dyDescent="0.25">
      <c r="G102" s="186">
        <v>15.5</v>
      </c>
    </row>
    <row r="103" spans="6:7" ht="16.5" customHeight="1" x14ac:dyDescent="0.25">
      <c r="G103" s="186">
        <v>16</v>
      </c>
    </row>
    <row r="117" spans="6:6" ht="16.5" customHeight="1" x14ac:dyDescent="0.25">
      <c r="F117" s="188">
        <v>12</v>
      </c>
    </row>
  </sheetData>
  <sheetProtection formatCells="0" formatColumns="0" formatRows="0" insertRows="0" deleteRows="0" sort="0" autoFilter="0"/>
  <autoFilter ref="A4:W20" xr:uid="{95F49513-D82B-4DD9-9D72-3F0AE6EE91FF}">
    <filterColumn colId="7" showButton="0"/>
    <filterColumn colId="9" showButton="0"/>
    <filterColumn colId="11" showButton="0"/>
    <filterColumn colId="13" showButton="0"/>
    <filterColumn colId="15" showButton="0"/>
    <filterColumn colId="17" showButton="0"/>
    <filterColumn colId="19" showButton="0"/>
    <sortState ref="A5:W22">
      <sortCondition ref="A4:A20"/>
    </sortState>
  </autoFilter>
  <mergeCells count="10">
    <mergeCell ref="B1:C3"/>
    <mergeCell ref="D1:E3"/>
    <mergeCell ref="F1:W3"/>
    <mergeCell ref="J4:K4"/>
    <mergeCell ref="H4:I4"/>
    <mergeCell ref="T4:U4"/>
    <mergeCell ref="R4:S4"/>
    <mergeCell ref="P4:Q4"/>
    <mergeCell ref="N4:O4"/>
    <mergeCell ref="L4:M4"/>
  </mergeCells>
  <conditionalFormatting sqref="H13:H14">
    <cfRule type="iconSet" priority="1623">
      <iconSet iconSet="3Symbols2">
        <cfvo type="percent" val="0"/>
        <cfvo type="percent" val="33"/>
        <cfvo type="percent" val="$I$15"/>
      </iconSet>
    </cfRule>
    <cfRule type="iconSet" priority="1624">
      <iconSet iconSet="3Symbols2">
        <cfvo type="percent" val="0"/>
        <cfvo type="percent" val="33"/>
        <cfvo type="percent" val="67"/>
      </iconSet>
    </cfRule>
  </conditionalFormatting>
  <conditionalFormatting sqref="I13:I14">
    <cfRule type="iconSet" priority="1620">
      <iconSet iconSet="3Symbols2">
        <cfvo type="percent" val="0"/>
        <cfvo type="percent" val="$AA$15"/>
        <cfvo type="percent" val="$AA$13"/>
      </iconSet>
    </cfRule>
  </conditionalFormatting>
  <conditionalFormatting sqref="H13:H14">
    <cfRule type="iconSet" priority="1619">
      <iconSet iconSet="3Symbols2">
        <cfvo type="percent" val="0"/>
        <cfvo type="percent" val="$AA$15"/>
        <cfvo type="percent" val="$AA$13"/>
      </iconSet>
    </cfRule>
  </conditionalFormatting>
  <conditionalFormatting sqref="H21">
    <cfRule type="iconSet" priority="1556">
      <iconSet iconSet="3Symbols2">
        <cfvo type="percent" val="0"/>
        <cfvo type="percent" val="33"/>
        <cfvo type="percent" val="$I$15"/>
      </iconSet>
    </cfRule>
    <cfRule type="iconSet" priority="1557">
      <iconSet iconSet="3Symbols2">
        <cfvo type="percent" val="0"/>
        <cfvo type="percent" val="33"/>
        <cfvo type="percent" val="67"/>
      </iconSet>
    </cfRule>
  </conditionalFormatting>
  <conditionalFormatting sqref="H21:I21">
    <cfRule type="iconSet" priority="1553">
      <iconSet iconSet="3Symbols2">
        <cfvo type="percent" val="0"/>
        <cfvo type="percent" val="$AA$15"/>
        <cfvo type="percent" val="$AA$13"/>
      </iconSet>
    </cfRule>
  </conditionalFormatting>
  <conditionalFormatting sqref="I21">
    <cfRule type="iconSet" priority="1532">
      <iconSet iconSet="3Symbols2">
        <cfvo type="percent" val="0"/>
        <cfvo type="percent" val="$AA$15"/>
        <cfvo type="percent" val="$AA$13"/>
      </iconSet>
    </cfRule>
  </conditionalFormatting>
  <conditionalFormatting sqref="H21">
    <cfRule type="iconSet" priority="1531">
      <iconSet iconSet="3Symbols2">
        <cfvo type="percent" val="0"/>
        <cfvo type="percent" val="$AA$15"/>
        <cfvo type="percent" val="$AA$13"/>
      </iconSet>
    </cfRule>
  </conditionalFormatting>
  <conditionalFormatting sqref="J13:J14">
    <cfRule type="iconSet" priority="1217">
      <iconSet iconSet="3Symbols2">
        <cfvo type="percent" val="0"/>
        <cfvo type="percent" val="33"/>
        <cfvo type="percent" val="$I$15"/>
      </iconSet>
    </cfRule>
    <cfRule type="iconSet" priority="1218">
      <iconSet iconSet="3Symbols2">
        <cfvo type="percent" val="0"/>
        <cfvo type="percent" val="33"/>
        <cfvo type="percent" val="67"/>
      </iconSet>
    </cfRule>
  </conditionalFormatting>
  <conditionalFormatting sqref="K13:K14">
    <cfRule type="iconSet" priority="1216">
      <iconSet iconSet="3Symbols2">
        <cfvo type="percent" val="0"/>
        <cfvo type="percent" val="$AA$15"/>
        <cfvo type="percent" val="$AA$13"/>
      </iconSet>
    </cfRule>
  </conditionalFormatting>
  <conditionalFormatting sqref="J13:J14">
    <cfRule type="iconSet" priority="1215">
      <iconSet iconSet="3Symbols2">
        <cfvo type="percent" val="0"/>
        <cfvo type="percent" val="$AA$15"/>
        <cfvo type="percent" val="$AA$13"/>
      </iconSet>
    </cfRule>
  </conditionalFormatting>
  <conditionalFormatting sqref="J21">
    <cfRule type="iconSet" priority="1207">
      <iconSet iconSet="3Symbols2">
        <cfvo type="percent" val="0"/>
        <cfvo type="percent" val="33"/>
        <cfvo type="percent" val="$I$15"/>
      </iconSet>
    </cfRule>
    <cfRule type="iconSet" priority="1208">
      <iconSet iconSet="3Symbols2">
        <cfvo type="percent" val="0"/>
        <cfvo type="percent" val="33"/>
        <cfvo type="percent" val="67"/>
      </iconSet>
    </cfRule>
  </conditionalFormatting>
  <conditionalFormatting sqref="J21:K21">
    <cfRule type="iconSet" priority="1206">
      <iconSet iconSet="3Symbols2">
        <cfvo type="percent" val="0"/>
        <cfvo type="percent" val="$AA$15"/>
        <cfvo type="percent" val="$AA$13"/>
      </iconSet>
    </cfRule>
  </conditionalFormatting>
  <conditionalFormatting sqref="K21">
    <cfRule type="iconSet" priority="1203">
      <iconSet iconSet="3Symbols2">
        <cfvo type="percent" val="0"/>
        <cfvo type="percent" val="$AA$15"/>
        <cfvo type="percent" val="$AA$13"/>
      </iconSet>
    </cfRule>
  </conditionalFormatting>
  <conditionalFormatting sqref="J21">
    <cfRule type="iconSet" priority="1202">
      <iconSet iconSet="3Symbols2">
        <cfvo type="percent" val="0"/>
        <cfvo type="percent" val="$AA$15"/>
        <cfvo type="percent" val="$AA$13"/>
      </iconSet>
    </cfRule>
  </conditionalFormatting>
  <conditionalFormatting sqref="L13:L14">
    <cfRule type="iconSet" priority="1189">
      <iconSet iconSet="3Symbols2">
        <cfvo type="percent" val="0"/>
        <cfvo type="percent" val="33"/>
        <cfvo type="percent" val="$I$15"/>
      </iconSet>
    </cfRule>
    <cfRule type="iconSet" priority="1190">
      <iconSet iconSet="3Symbols2">
        <cfvo type="percent" val="0"/>
        <cfvo type="percent" val="33"/>
        <cfvo type="percent" val="67"/>
      </iconSet>
    </cfRule>
  </conditionalFormatting>
  <conditionalFormatting sqref="M13:M14">
    <cfRule type="iconSet" priority="1188">
      <iconSet iconSet="3Symbols2">
        <cfvo type="percent" val="0"/>
        <cfvo type="percent" val="$AA$15"/>
        <cfvo type="percent" val="$AA$13"/>
      </iconSet>
    </cfRule>
  </conditionalFormatting>
  <conditionalFormatting sqref="L13:L14">
    <cfRule type="iconSet" priority="1187">
      <iconSet iconSet="3Symbols2">
        <cfvo type="percent" val="0"/>
        <cfvo type="percent" val="$AA$15"/>
        <cfvo type="percent" val="$AA$13"/>
      </iconSet>
    </cfRule>
  </conditionalFormatting>
  <conditionalFormatting sqref="L21">
    <cfRule type="iconSet" priority="1179">
      <iconSet iconSet="3Symbols2">
        <cfvo type="percent" val="0"/>
        <cfvo type="percent" val="33"/>
        <cfvo type="percent" val="$I$15"/>
      </iconSet>
    </cfRule>
    <cfRule type="iconSet" priority="1180">
      <iconSet iconSet="3Symbols2">
        <cfvo type="percent" val="0"/>
        <cfvo type="percent" val="33"/>
        <cfvo type="percent" val="67"/>
      </iconSet>
    </cfRule>
  </conditionalFormatting>
  <conditionalFormatting sqref="L21:M21">
    <cfRule type="iconSet" priority="1178">
      <iconSet iconSet="3Symbols2">
        <cfvo type="percent" val="0"/>
        <cfvo type="percent" val="$AA$15"/>
        <cfvo type="percent" val="$AA$13"/>
      </iconSet>
    </cfRule>
  </conditionalFormatting>
  <conditionalFormatting sqref="M21">
    <cfRule type="iconSet" priority="1175">
      <iconSet iconSet="3Symbols2">
        <cfvo type="percent" val="0"/>
        <cfvo type="percent" val="$AA$15"/>
        <cfvo type="percent" val="$AA$13"/>
      </iconSet>
    </cfRule>
  </conditionalFormatting>
  <conditionalFormatting sqref="L21">
    <cfRule type="iconSet" priority="1174">
      <iconSet iconSet="3Symbols2">
        <cfvo type="percent" val="0"/>
        <cfvo type="percent" val="$AA$15"/>
        <cfvo type="percent" val="$AA$13"/>
      </iconSet>
    </cfRule>
  </conditionalFormatting>
  <conditionalFormatting sqref="N13:N14">
    <cfRule type="iconSet" priority="1161">
      <iconSet iconSet="3Symbols2">
        <cfvo type="percent" val="0"/>
        <cfvo type="percent" val="33"/>
        <cfvo type="percent" val="$I$15"/>
      </iconSet>
    </cfRule>
    <cfRule type="iconSet" priority="1162">
      <iconSet iconSet="3Symbols2">
        <cfvo type="percent" val="0"/>
        <cfvo type="percent" val="33"/>
        <cfvo type="percent" val="67"/>
      </iconSet>
    </cfRule>
  </conditionalFormatting>
  <conditionalFormatting sqref="O13:O14">
    <cfRule type="iconSet" priority="1160">
      <iconSet iconSet="3Symbols2">
        <cfvo type="percent" val="0"/>
        <cfvo type="percent" val="$AA$15"/>
        <cfvo type="percent" val="$AA$13"/>
      </iconSet>
    </cfRule>
  </conditionalFormatting>
  <conditionalFormatting sqref="N13:N14">
    <cfRule type="iconSet" priority="1159">
      <iconSet iconSet="3Symbols2">
        <cfvo type="percent" val="0"/>
        <cfvo type="percent" val="$AA$15"/>
        <cfvo type="percent" val="$AA$13"/>
      </iconSet>
    </cfRule>
  </conditionalFormatting>
  <conditionalFormatting sqref="N21">
    <cfRule type="iconSet" priority="1151">
      <iconSet iconSet="3Symbols2">
        <cfvo type="percent" val="0"/>
        <cfvo type="percent" val="33"/>
        <cfvo type="percent" val="$I$15"/>
      </iconSet>
    </cfRule>
    <cfRule type="iconSet" priority="1152">
      <iconSet iconSet="3Symbols2">
        <cfvo type="percent" val="0"/>
        <cfvo type="percent" val="33"/>
        <cfvo type="percent" val="67"/>
      </iconSet>
    </cfRule>
  </conditionalFormatting>
  <conditionalFormatting sqref="N21:O21">
    <cfRule type="iconSet" priority="1150">
      <iconSet iconSet="3Symbols2">
        <cfvo type="percent" val="0"/>
        <cfvo type="percent" val="$AA$15"/>
        <cfvo type="percent" val="$AA$13"/>
      </iconSet>
    </cfRule>
  </conditionalFormatting>
  <conditionalFormatting sqref="O21">
    <cfRule type="iconSet" priority="1147">
      <iconSet iconSet="3Symbols2">
        <cfvo type="percent" val="0"/>
        <cfvo type="percent" val="$AA$15"/>
        <cfvo type="percent" val="$AA$13"/>
      </iconSet>
    </cfRule>
  </conditionalFormatting>
  <conditionalFormatting sqref="N21">
    <cfRule type="iconSet" priority="1146">
      <iconSet iconSet="3Symbols2">
        <cfvo type="percent" val="0"/>
        <cfvo type="percent" val="$AA$15"/>
        <cfvo type="percent" val="$AA$13"/>
      </iconSet>
    </cfRule>
  </conditionalFormatting>
  <conditionalFormatting sqref="P13:P14">
    <cfRule type="iconSet" priority="1133">
      <iconSet iconSet="3Symbols2">
        <cfvo type="percent" val="0"/>
        <cfvo type="percent" val="33"/>
        <cfvo type="percent" val="$I$15"/>
      </iconSet>
    </cfRule>
    <cfRule type="iconSet" priority="1134">
      <iconSet iconSet="3Symbols2">
        <cfvo type="percent" val="0"/>
        <cfvo type="percent" val="33"/>
        <cfvo type="percent" val="67"/>
      </iconSet>
    </cfRule>
  </conditionalFormatting>
  <conditionalFormatting sqref="Q13:Q14">
    <cfRule type="iconSet" priority="1132">
      <iconSet iconSet="3Symbols2">
        <cfvo type="percent" val="0"/>
        <cfvo type="percent" val="$AA$15"/>
        <cfvo type="percent" val="$AA$13"/>
      </iconSet>
    </cfRule>
  </conditionalFormatting>
  <conditionalFormatting sqref="P13:P14">
    <cfRule type="iconSet" priority="1131">
      <iconSet iconSet="3Symbols2">
        <cfvo type="percent" val="0"/>
        <cfvo type="percent" val="$AA$15"/>
        <cfvo type="percent" val="$AA$13"/>
      </iconSet>
    </cfRule>
  </conditionalFormatting>
  <conditionalFormatting sqref="P21">
    <cfRule type="iconSet" priority="1123">
      <iconSet iconSet="3Symbols2">
        <cfvo type="percent" val="0"/>
        <cfvo type="percent" val="33"/>
        <cfvo type="percent" val="$I$15"/>
      </iconSet>
    </cfRule>
    <cfRule type="iconSet" priority="1124">
      <iconSet iconSet="3Symbols2">
        <cfvo type="percent" val="0"/>
        <cfvo type="percent" val="33"/>
        <cfvo type="percent" val="67"/>
      </iconSet>
    </cfRule>
  </conditionalFormatting>
  <conditionalFormatting sqref="P21:Q21">
    <cfRule type="iconSet" priority="1122">
      <iconSet iconSet="3Symbols2">
        <cfvo type="percent" val="0"/>
        <cfvo type="percent" val="$AA$15"/>
        <cfvo type="percent" val="$AA$13"/>
      </iconSet>
    </cfRule>
  </conditionalFormatting>
  <conditionalFormatting sqref="Q21">
    <cfRule type="iconSet" priority="1119">
      <iconSet iconSet="3Symbols2">
        <cfvo type="percent" val="0"/>
        <cfvo type="percent" val="$AA$15"/>
        <cfvo type="percent" val="$AA$13"/>
      </iconSet>
    </cfRule>
  </conditionalFormatting>
  <conditionalFormatting sqref="P21">
    <cfRule type="iconSet" priority="1118">
      <iconSet iconSet="3Symbols2">
        <cfvo type="percent" val="0"/>
        <cfvo type="percent" val="$AA$15"/>
        <cfvo type="percent" val="$AA$13"/>
      </iconSet>
    </cfRule>
  </conditionalFormatting>
  <conditionalFormatting sqref="R13:R14">
    <cfRule type="iconSet" priority="1105">
      <iconSet iconSet="3Symbols2">
        <cfvo type="percent" val="0"/>
        <cfvo type="percent" val="33"/>
        <cfvo type="percent" val="$I$15"/>
      </iconSet>
    </cfRule>
    <cfRule type="iconSet" priority="1106">
      <iconSet iconSet="3Symbols2">
        <cfvo type="percent" val="0"/>
        <cfvo type="percent" val="33"/>
        <cfvo type="percent" val="67"/>
      </iconSet>
    </cfRule>
  </conditionalFormatting>
  <conditionalFormatting sqref="S13:S14">
    <cfRule type="iconSet" priority="1104">
      <iconSet iconSet="3Symbols2">
        <cfvo type="percent" val="0"/>
        <cfvo type="percent" val="$AA$15"/>
        <cfvo type="percent" val="$AA$13"/>
      </iconSet>
    </cfRule>
  </conditionalFormatting>
  <conditionalFormatting sqref="R13:R14">
    <cfRule type="iconSet" priority="1103">
      <iconSet iconSet="3Symbols2">
        <cfvo type="percent" val="0"/>
        <cfvo type="percent" val="$AA$15"/>
        <cfvo type="percent" val="$AA$13"/>
      </iconSet>
    </cfRule>
  </conditionalFormatting>
  <conditionalFormatting sqref="R21">
    <cfRule type="iconSet" priority="1095">
      <iconSet iconSet="3Symbols2">
        <cfvo type="percent" val="0"/>
        <cfvo type="percent" val="33"/>
        <cfvo type="percent" val="$I$15"/>
      </iconSet>
    </cfRule>
    <cfRule type="iconSet" priority="1096">
      <iconSet iconSet="3Symbols2">
        <cfvo type="percent" val="0"/>
        <cfvo type="percent" val="33"/>
        <cfvo type="percent" val="67"/>
      </iconSet>
    </cfRule>
  </conditionalFormatting>
  <conditionalFormatting sqref="R21:S21">
    <cfRule type="iconSet" priority="1094">
      <iconSet iconSet="3Symbols2">
        <cfvo type="percent" val="0"/>
        <cfvo type="percent" val="$AA$15"/>
        <cfvo type="percent" val="$AA$13"/>
      </iconSet>
    </cfRule>
  </conditionalFormatting>
  <conditionalFormatting sqref="S21">
    <cfRule type="iconSet" priority="1091">
      <iconSet iconSet="3Symbols2">
        <cfvo type="percent" val="0"/>
        <cfvo type="percent" val="$AA$15"/>
        <cfvo type="percent" val="$AA$13"/>
      </iconSet>
    </cfRule>
  </conditionalFormatting>
  <conditionalFormatting sqref="R21">
    <cfRule type="iconSet" priority="1090">
      <iconSet iconSet="3Symbols2">
        <cfvo type="percent" val="0"/>
        <cfvo type="percent" val="$AA$15"/>
        <cfvo type="percent" val="$AA$13"/>
      </iconSet>
    </cfRule>
  </conditionalFormatting>
  <conditionalFormatting sqref="T13:T14">
    <cfRule type="iconSet" priority="1077">
      <iconSet iconSet="3Symbols2">
        <cfvo type="percent" val="0"/>
        <cfvo type="percent" val="33"/>
        <cfvo type="percent" val="$I$15"/>
      </iconSet>
    </cfRule>
    <cfRule type="iconSet" priority="1078">
      <iconSet iconSet="3Symbols2">
        <cfvo type="percent" val="0"/>
        <cfvo type="percent" val="33"/>
        <cfvo type="percent" val="67"/>
      </iconSet>
    </cfRule>
  </conditionalFormatting>
  <conditionalFormatting sqref="U13:U14">
    <cfRule type="iconSet" priority="1076">
      <iconSet iconSet="3Symbols2">
        <cfvo type="percent" val="0"/>
        <cfvo type="percent" val="$AA$15"/>
        <cfvo type="percent" val="$AA$13"/>
      </iconSet>
    </cfRule>
  </conditionalFormatting>
  <conditionalFormatting sqref="T13:T14">
    <cfRule type="iconSet" priority="1075">
      <iconSet iconSet="3Symbols2">
        <cfvo type="percent" val="0"/>
        <cfvo type="percent" val="$AA$15"/>
        <cfvo type="percent" val="$AA$13"/>
      </iconSet>
    </cfRule>
  </conditionalFormatting>
  <conditionalFormatting sqref="T21">
    <cfRule type="iconSet" priority="1067">
      <iconSet iconSet="3Symbols2">
        <cfvo type="percent" val="0"/>
        <cfvo type="percent" val="33"/>
        <cfvo type="percent" val="$I$15"/>
      </iconSet>
    </cfRule>
    <cfRule type="iconSet" priority="1068">
      <iconSet iconSet="3Symbols2">
        <cfvo type="percent" val="0"/>
        <cfvo type="percent" val="33"/>
        <cfvo type="percent" val="67"/>
      </iconSet>
    </cfRule>
  </conditionalFormatting>
  <conditionalFormatting sqref="T21:U21">
    <cfRule type="iconSet" priority="1066">
      <iconSet iconSet="3Symbols2">
        <cfvo type="percent" val="0"/>
        <cfvo type="percent" val="$AA$15"/>
        <cfvo type="percent" val="$AA$13"/>
      </iconSet>
    </cfRule>
  </conditionalFormatting>
  <conditionalFormatting sqref="U21">
    <cfRule type="iconSet" priority="1063">
      <iconSet iconSet="3Symbols2">
        <cfvo type="percent" val="0"/>
        <cfvo type="percent" val="$AA$15"/>
        <cfvo type="percent" val="$AA$13"/>
      </iconSet>
    </cfRule>
  </conditionalFormatting>
  <conditionalFormatting sqref="T21">
    <cfRule type="iconSet" priority="1062">
      <iconSet iconSet="3Symbols2">
        <cfvo type="percent" val="0"/>
        <cfvo type="percent" val="$AA$15"/>
        <cfvo type="percent" val="$AA$13"/>
      </iconSet>
    </cfRule>
  </conditionalFormatting>
  <conditionalFormatting sqref="H14">
    <cfRule type="iconSet" priority="951">
      <iconSet iconSet="3Symbols2">
        <cfvo type="percent" val="0"/>
        <cfvo type="percent" val="33"/>
        <cfvo type="percent" val="$I$15"/>
      </iconSet>
    </cfRule>
    <cfRule type="iconSet" priority="952">
      <iconSet iconSet="3Symbols2">
        <cfvo type="percent" val="0"/>
        <cfvo type="percent" val="33"/>
        <cfvo type="percent" val="67"/>
      </iconSet>
    </cfRule>
  </conditionalFormatting>
  <conditionalFormatting sqref="H14:I14">
    <cfRule type="iconSet" priority="950">
      <iconSet iconSet="3Symbols2">
        <cfvo type="percent" val="0"/>
        <cfvo type="percent" val="$AA$15"/>
        <cfvo type="percent" val="$AA$13"/>
      </iconSet>
    </cfRule>
  </conditionalFormatting>
  <conditionalFormatting sqref="I14">
    <cfRule type="iconSet" priority="947">
      <iconSet iconSet="3Symbols2">
        <cfvo type="percent" val="0"/>
        <cfvo type="percent" val="$AA$15"/>
        <cfvo type="percent" val="$AA$13"/>
      </iconSet>
    </cfRule>
  </conditionalFormatting>
  <conditionalFormatting sqref="H14">
    <cfRule type="iconSet" priority="946">
      <iconSet iconSet="3Symbols2">
        <cfvo type="percent" val="0"/>
        <cfvo type="percent" val="$AA$15"/>
        <cfvo type="percent" val="$AA$13"/>
      </iconSet>
    </cfRule>
  </conditionalFormatting>
  <conditionalFormatting sqref="J14">
    <cfRule type="iconSet" priority="944">
      <iconSet iconSet="3Symbols2">
        <cfvo type="percent" val="0"/>
        <cfvo type="percent" val="33"/>
        <cfvo type="percent" val="$I$15"/>
      </iconSet>
    </cfRule>
    <cfRule type="iconSet" priority="945">
      <iconSet iconSet="3Symbols2">
        <cfvo type="percent" val="0"/>
        <cfvo type="percent" val="33"/>
        <cfvo type="percent" val="67"/>
      </iconSet>
    </cfRule>
  </conditionalFormatting>
  <conditionalFormatting sqref="J14:K14">
    <cfRule type="iconSet" priority="943">
      <iconSet iconSet="3Symbols2">
        <cfvo type="percent" val="0"/>
        <cfvo type="percent" val="$AA$15"/>
        <cfvo type="percent" val="$AA$13"/>
      </iconSet>
    </cfRule>
  </conditionalFormatting>
  <conditionalFormatting sqref="K14">
    <cfRule type="iconSet" priority="940">
      <iconSet iconSet="3Symbols2">
        <cfvo type="percent" val="0"/>
        <cfvo type="percent" val="$AA$15"/>
        <cfvo type="percent" val="$AA$13"/>
      </iconSet>
    </cfRule>
  </conditionalFormatting>
  <conditionalFormatting sqref="J14">
    <cfRule type="iconSet" priority="939">
      <iconSet iconSet="3Symbols2">
        <cfvo type="percent" val="0"/>
        <cfvo type="percent" val="$AA$15"/>
        <cfvo type="percent" val="$AA$13"/>
      </iconSet>
    </cfRule>
  </conditionalFormatting>
  <conditionalFormatting sqref="L14">
    <cfRule type="iconSet" priority="937">
      <iconSet iconSet="3Symbols2">
        <cfvo type="percent" val="0"/>
        <cfvo type="percent" val="33"/>
        <cfvo type="percent" val="$I$15"/>
      </iconSet>
    </cfRule>
    <cfRule type="iconSet" priority="938">
      <iconSet iconSet="3Symbols2">
        <cfvo type="percent" val="0"/>
        <cfvo type="percent" val="33"/>
        <cfvo type="percent" val="67"/>
      </iconSet>
    </cfRule>
  </conditionalFormatting>
  <conditionalFormatting sqref="L14:M14">
    <cfRule type="iconSet" priority="936">
      <iconSet iconSet="3Symbols2">
        <cfvo type="percent" val="0"/>
        <cfvo type="percent" val="$AA$15"/>
        <cfvo type="percent" val="$AA$13"/>
      </iconSet>
    </cfRule>
  </conditionalFormatting>
  <conditionalFormatting sqref="M14">
    <cfRule type="iconSet" priority="933">
      <iconSet iconSet="3Symbols2">
        <cfvo type="percent" val="0"/>
        <cfvo type="percent" val="$AA$15"/>
        <cfvo type="percent" val="$AA$13"/>
      </iconSet>
    </cfRule>
  </conditionalFormatting>
  <conditionalFormatting sqref="L14">
    <cfRule type="iconSet" priority="932">
      <iconSet iconSet="3Symbols2">
        <cfvo type="percent" val="0"/>
        <cfvo type="percent" val="$AA$15"/>
        <cfvo type="percent" val="$AA$13"/>
      </iconSet>
    </cfRule>
  </conditionalFormatting>
  <conditionalFormatting sqref="N14">
    <cfRule type="iconSet" priority="930">
      <iconSet iconSet="3Symbols2">
        <cfvo type="percent" val="0"/>
        <cfvo type="percent" val="33"/>
        <cfvo type="percent" val="$I$15"/>
      </iconSet>
    </cfRule>
    <cfRule type="iconSet" priority="931">
      <iconSet iconSet="3Symbols2">
        <cfvo type="percent" val="0"/>
        <cfvo type="percent" val="33"/>
        <cfvo type="percent" val="67"/>
      </iconSet>
    </cfRule>
  </conditionalFormatting>
  <conditionalFormatting sqref="N14:O14">
    <cfRule type="iconSet" priority="929">
      <iconSet iconSet="3Symbols2">
        <cfvo type="percent" val="0"/>
        <cfvo type="percent" val="$AA$15"/>
        <cfvo type="percent" val="$AA$13"/>
      </iconSet>
    </cfRule>
  </conditionalFormatting>
  <conditionalFormatting sqref="O14">
    <cfRule type="iconSet" priority="926">
      <iconSet iconSet="3Symbols2">
        <cfvo type="percent" val="0"/>
        <cfvo type="percent" val="$AA$15"/>
        <cfvo type="percent" val="$AA$13"/>
      </iconSet>
    </cfRule>
  </conditionalFormatting>
  <conditionalFormatting sqref="N14">
    <cfRule type="iconSet" priority="925">
      <iconSet iconSet="3Symbols2">
        <cfvo type="percent" val="0"/>
        <cfvo type="percent" val="$AA$15"/>
        <cfvo type="percent" val="$AA$13"/>
      </iconSet>
    </cfRule>
  </conditionalFormatting>
  <conditionalFormatting sqref="P14">
    <cfRule type="iconSet" priority="923">
      <iconSet iconSet="3Symbols2">
        <cfvo type="percent" val="0"/>
        <cfvo type="percent" val="33"/>
        <cfvo type="percent" val="$I$15"/>
      </iconSet>
    </cfRule>
    <cfRule type="iconSet" priority="924">
      <iconSet iconSet="3Symbols2">
        <cfvo type="percent" val="0"/>
        <cfvo type="percent" val="33"/>
        <cfvo type="percent" val="67"/>
      </iconSet>
    </cfRule>
  </conditionalFormatting>
  <conditionalFormatting sqref="P14:Q14">
    <cfRule type="iconSet" priority="922">
      <iconSet iconSet="3Symbols2">
        <cfvo type="percent" val="0"/>
        <cfvo type="percent" val="$AA$15"/>
        <cfvo type="percent" val="$AA$13"/>
      </iconSet>
    </cfRule>
  </conditionalFormatting>
  <conditionalFormatting sqref="Q14">
    <cfRule type="iconSet" priority="919">
      <iconSet iconSet="3Symbols2">
        <cfvo type="percent" val="0"/>
        <cfvo type="percent" val="$AA$15"/>
        <cfvo type="percent" val="$AA$13"/>
      </iconSet>
    </cfRule>
  </conditionalFormatting>
  <conditionalFormatting sqref="P14">
    <cfRule type="iconSet" priority="918">
      <iconSet iconSet="3Symbols2">
        <cfvo type="percent" val="0"/>
        <cfvo type="percent" val="$AA$15"/>
        <cfvo type="percent" val="$AA$13"/>
      </iconSet>
    </cfRule>
  </conditionalFormatting>
  <conditionalFormatting sqref="R14">
    <cfRule type="iconSet" priority="916">
      <iconSet iconSet="3Symbols2">
        <cfvo type="percent" val="0"/>
        <cfvo type="percent" val="33"/>
        <cfvo type="percent" val="$I$15"/>
      </iconSet>
    </cfRule>
    <cfRule type="iconSet" priority="917">
      <iconSet iconSet="3Symbols2">
        <cfvo type="percent" val="0"/>
        <cfvo type="percent" val="33"/>
        <cfvo type="percent" val="67"/>
      </iconSet>
    </cfRule>
  </conditionalFormatting>
  <conditionalFormatting sqref="R14:S14">
    <cfRule type="iconSet" priority="915">
      <iconSet iconSet="3Symbols2">
        <cfvo type="percent" val="0"/>
        <cfvo type="percent" val="$AA$15"/>
        <cfvo type="percent" val="$AA$13"/>
      </iconSet>
    </cfRule>
  </conditionalFormatting>
  <conditionalFormatting sqref="S14">
    <cfRule type="iconSet" priority="912">
      <iconSet iconSet="3Symbols2">
        <cfvo type="percent" val="0"/>
        <cfvo type="percent" val="$AA$15"/>
        <cfvo type="percent" val="$AA$13"/>
      </iconSet>
    </cfRule>
  </conditionalFormatting>
  <conditionalFormatting sqref="R14">
    <cfRule type="iconSet" priority="911">
      <iconSet iconSet="3Symbols2">
        <cfvo type="percent" val="0"/>
        <cfvo type="percent" val="$AA$15"/>
        <cfvo type="percent" val="$AA$13"/>
      </iconSet>
    </cfRule>
  </conditionalFormatting>
  <conditionalFormatting sqref="T14">
    <cfRule type="iconSet" priority="909">
      <iconSet iconSet="3Symbols2">
        <cfvo type="percent" val="0"/>
        <cfvo type="percent" val="33"/>
        <cfvo type="percent" val="$I$15"/>
      </iconSet>
    </cfRule>
    <cfRule type="iconSet" priority="910">
      <iconSet iconSet="3Symbols2">
        <cfvo type="percent" val="0"/>
        <cfvo type="percent" val="33"/>
        <cfvo type="percent" val="67"/>
      </iconSet>
    </cfRule>
  </conditionalFormatting>
  <conditionalFormatting sqref="T14:U14">
    <cfRule type="iconSet" priority="908">
      <iconSet iconSet="3Symbols2">
        <cfvo type="percent" val="0"/>
        <cfvo type="percent" val="$AA$15"/>
        <cfvo type="percent" val="$AA$13"/>
      </iconSet>
    </cfRule>
  </conditionalFormatting>
  <conditionalFormatting sqref="U14">
    <cfRule type="iconSet" priority="905">
      <iconSet iconSet="3Symbols2">
        <cfvo type="percent" val="0"/>
        <cfvo type="percent" val="$AA$15"/>
        <cfvo type="percent" val="$AA$13"/>
      </iconSet>
    </cfRule>
  </conditionalFormatting>
  <conditionalFormatting sqref="T14">
    <cfRule type="iconSet" priority="904">
      <iconSet iconSet="3Symbols2">
        <cfvo type="percent" val="0"/>
        <cfvo type="percent" val="$AA$15"/>
        <cfvo type="percent" val="$AA$13"/>
      </iconSet>
    </cfRule>
  </conditionalFormatting>
  <conditionalFormatting sqref="H12">
    <cfRule type="iconSet" priority="2412">
      <iconSet iconSet="3Symbols2">
        <cfvo type="percent" val="0"/>
        <cfvo type="percent" val="33"/>
        <cfvo type="percent" val="$I$15"/>
      </iconSet>
    </cfRule>
    <cfRule type="iconSet" priority="2413">
      <iconSet iconSet="3Symbols2">
        <cfvo type="percent" val="0"/>
        <cfvo type="percent" val="33"/>
        <cfvo type="percent" val="67"/>
      </iconSet>
    </cfRule>
  </conditionalFormatting>
  <conditionalFormatting sqref="H12:I12">
    <cfRule type="iconSet" priority="2414">
      <iconSet iconSet="3Symbols2">
        <cfvo type="percent" val="0"/>
        <cfvo type="percent" val="$AA$15"/>
        <cfvo type="percent" val="$AA$13"/>
      </iconSet>
    </cfRule>
  </conditionalFormatting>
  <conditionalFormatting sqref="I12">
    <cfRule type="iconSet" priority="2415">
      <iconSet iconSet="3Symbols2">
        <cfvo type="percent" val="0"/>
        <cfvo type="percent" val="$AA$15"/>
        <cfvo type="percent" val="$AA$13"/>
      </iconSet>
    </cfRule>
  </conditionalFormatting>
  <conditionalFormatting sqref="H12">
    <cfRule type="iconSet" priority="2416">
      <iconSet iconSet="3Symbols2">
        <cfvo type="percent" val="0"/>
        <cfvo type="percent" val="$AA$15"/>
        <cfvo type="percent" val="$AA$13"/>
      </iconSet>
    </cfRule>
  </conditionalFormatting>
  <conditionalFormatting sqref="J12">
    <cfRule type="iconSet" priority="2417">
      <iconSet iconSet="3Symbols2">
        <cfvo type="percent" val="0"/>
        <cfvo type="percent" val="33"/>
        <cfvo type="percent" val="$I$15"/>
      </iconSet>
    </cfRule>
    <cfRule type="iconSet" priority="2418">
      <iconSet iconSet="3Symbols2">
        <cfvo type="percent" val="0"/>
        <cfvo type="percent" val="33"/>
        <cfvo type="percent" val="67"/>
      </iconSet>
    </cfRule>
  </conditionalFormatting>
  <conditionalFormatting sqref="J12:K12">
    <cfRule type="iconSet" priority="2419">
      <iconSet iconSet="3Symbols2">
        <cfvo type="percent" val="0"/>
        <cfvo type="percent" val="$AA$15"/>
        <cfvo type="percent" val="$AA$13"/>
      </iconSet>
    </cfRule>
  </conditionalFormatting>
  <conditionalFormatting sqref="K12">
    <cfRule type="iconSet" priority="2420">
      <iconSet iconSet="3Symbols2">
        <cfvo type="percent" val="0"/>
        <cfvo type="percent" val="$AA$15"/>
        <cfvo type="percent" val="$AA$13"/>
      </iconSet>
    </cfRule>
  </conditionalFormatting>
  <conditionalFormatting sqref="J12">
    <cfRule type="iconSet" priority="2421">
      <iconSet iconSet="3Symbols2">
        <cfvo type="percent" val="0"/>
        <cfvo type="percent" val="$AA$15"/>
        <cfvo type="percent" val="$AA$13"/>
      </iconSet>
    </cfRule>
  </conditionalFormatting>
  <conditionalFormatting sqref="L12">
    <cfRule type="iconSet" priority="2422">
      <iconSet iconSet="3Symbols2">
        <cfvo type="percent" val="0"/>
        <cfvo type="percent" val="33"/>
        <cfvo type="percent" val="$I$15"/>
      </iconSet>
    </cfRule>
    <cfRule type="iconSet" priority="2423">
      <iconSet iconSet="3Symbols2">
        <cfvo type="percent" val="0"/>
        <cfvo type="percent" val="33"/>
        <cfvo type="percent" val="67"/>
      </iconSet>
    </cfRule>
  </conditionalFormatting>
  <conditionalFormatting sqref="L12:M12">
    <cfRule type="iconSet" priority="2424">
      <iconSet iconSet="3Symbols2">
        <cfvo type="percent" val="0"/>
        <cfvo type="percent" val="$AA$15"/>
        <cfvo type="percent" val="$AA$13"/>
      </iconSet>
    </cfRule>
  </conditionalFormatting>
  <conditionalFormatting sqref="M12">
    <cfRule type="iconSet" priority="2425">
      <iconSet iconSet="3Symbols2">
        <cfvo type="percent" val="0"/>
        <cfvo type="percent" val="$AA$15"/>
        <cfvo type="percent" val="$AA$13"/>
      </iconSet>
    </cfRule>
  </conditionalFormatting>
  <conditionalFormatting sqref="L12">
    <cfRule type="iconSet" priority="2426">
      <iconSet iconSet="3Symbols2">
        <cfvo type="percent" val="0"/>
        <cfvo type="percent" val="$AA$15"/>
        <cfvo type="percent" val="$AA$13"/>
      </iconSet>
    </cfRule>
  </conditionalFormatting>
  <conditionalFormatting sqref="N12">
    <cfRule type="iconSet" priority="2427">
      <iconSet iconSet="3Symbols2">
        <cfvo type="percent" val="0"/>
        <cfvo type="percent" val="33"/>
        <cfvo type="percent" val="$I$15"/>
      </iconSet>
    </cfRule>
    <cfRule type="iconSet" priority="2428">
      <iconSet iconSet="3Symbols2">
        <cfvo type="percent" val="0"/>
        <cfvo type="percent" val="33"/>
        <cfvo type="percent" val="67"/>
      </iconSet>
    </cfRule>
  </conditionalFormatting>
  <conditionalFormatting sqref="N12:O12">
    <cfRule type="iconSet" priority="2429">
      <iconSet iconSet="3Symbols2">
        <cfvo type="percent" val="0"/>
        <cfvo type="percent" val="$AA$15"/>
        <cfvo type="percent" val="$AA$13"/>
      </iconSet>
    </cfRule>
  </conditionalFormatting>
  <conditionalFormatting sqref="O12">
    <cfRule type="iconSet" priority="2430">
      <iconSet iconSet="3Symbols2">
        <cfvo type="percent" val="0"/>
        <cfvo type="percent" val="$AA$15"/>
        <cfvo type="percent" val="$AA$13"/>
      </iconSet>
    </cfRule>
  </conditionalFormatting>
  <conditionalFormatting sqref="N12">
    <cfRule type="iconSet" priority="2431">
      <iconSet iconSet="3Symbols2">
        <cfvo type="percent" val="0"/>
        <cfvo type="percent" val="$AA$15"/>
        <cfvo type="percent" val="$AA$13"/>
      </iconSet>
    </cfRule>
  </conditionalFormatting>
  <conditionalFormatting sqref="P12">
    <cfRule type="iconSet" priority="2432">
      <iconSet iconSet="3Symbols2">
        <cfvo type="percent" val="0"/>
        <cfvo type="percent" val="33"/>
        <cfvo type="percent" val="$I$15"/>
      </iconSet>
    </cfRule>
    <cfRule type="iconSet" priority="2433">
      <iconSet iconSet="3Symbols2">
        <cfvo type="percent" val="0"/>
        <cfvo type="percent" val="33"/>
        <cfvo type="percent" val="67"/>
      </iconSet>
    </cfRule>
  </conditionalFormatting>
  <conditionalFormatting sqref="P12:Q12">
    <cfRule type="iconSet" priority="2434">
      <iconSet iconSet="3Symbols2">
        <cfvo type="percent" val="0"/>
        <cfvo type="percent" val="$AA$15"/>
        <cfvo type="percent" val="$AA$13"/>
      </iconSet>
    </cfRule>
  </conditionalFormatting>
  <conditionalFormatting sqref="Q12">
    <cfRule type="iconSet" priority="2435">
      <iconSet iconSet="3Symbols2">
        <cfvo type="percent" val="0"/>
        <cfvo type="percent" val="$AA$15"/>
        <cfvo type="percent" val="$AA$13"/>
      </iconSet>
    </cfRule>
  </conditionalFormatting>
  <conditionalFormatting sqref="P12">
    <cfRule type="iconSet" priority="2436">
      <iconSet iconSet="3Symbols2">
        <cfvo type="percent" val="0"/>
        <cfvo type="percent" val="$AA$15"/>
        <cfvo type="percent" val="$AA$13"/>
      </iconSet>
    </cfRule>
  </conditionalFormatting>
  <conditionalFormatting sqref="R12">
    <cfRule type="iconSet" priority="2437">
      <iconSet iconSet="3Symbols2">
        <cfvo type="percent" val="0"/>
        <cfvo type="percent" val="33"/>
        <cfvo type="percent" val="$I$15"/>
      </iconSet>
    </cfRule>
    <cfRule type="iconSet" priority="2438">
      <iconSet iconSet="3Symbols2">
        <cfvo type="percent" val="0"/>
        <cfvo type="percent" val="33"/>
        <cfvo type="percent" val="67"/>
      </iconSet>
    </cfRule>
  </conditionalFormatting>
  <conditionalFormatting sqref="R12:S12">
    <cfRule type="iconSet" priority="2439">
      <iconSet iconSet="3Symbols2">
        <cfvo type="percent" val="0"/>
        <cfvo type="percent" val="$AA$15"/>
        <cfvo type="percent" val="$AA$13"/>
      </iconSet>
    </cfRule>
  </conditionalFormatting>
  <conditionalFormatting sqref="S12">
    <cfRule type="iconSet" priority="2440">
      <iconSet iconSet="3Symbols2">
        <cfvo type="percent" val="0"/>
        <cfvo type="percent" val="$AA$15"/>
        <cfvo type="percent" val="$AA$13"/>
      </iconSet>
    </cfRule>
  </conditionalFormatting>
  <conditionalFormatting sqref="R12">
    <cfRule type="iconSet" priority="2441">
      <iconSet iconSet="3Symbols2">
        <cfvo type="percent" val="0"/>
        <cfvo type="percent" val="$AA$15"/>
        <cfvo type="percent" val="$AA$13"/>
      </iconSet>
    </cfRule>
  </conditionalFormatting>
  <conditionalFormatting sqref="T12">
    <cfRule type="iconSet" priority="2442">
      <iconSet iconSet="3Symbols2">
        <cfvo type="percent" val="0"/>
        <cfvo type="percent" val="33"/>
        <cfvo type="percent" val="$I$15"/>
      </iconSet>
    </cfRule>
    <cfRule type="iconSet" priority="2443">
      <iconSet iconSet="3Symbols2">
        <cfvo type="percent" val="0"/>
        <cfvo type="percent" val="33"/>
        <cfvo type="percent" val="67"/>
      </iconSet>
    </cfRule>
  </conditionalFormatting>
  <conditionalFormatting sqref="T12:U12">
    <cfRule type="iconSet" priority="2444">
      <iconSet iconSet="3Symbols2">
        <cfvo type="percent" val="0"/>
        <cfvo type="percent" val="$AA$15"/>
        <cfvo type="percent" val="$AA$13"/>
      </iconSet>
    </cfRule>
  </conditionalFormatting>
  <conditionalFormatting sqref="U12">
    <cfRule type="iconSet" priority="2445">
      <iconSet iconSet="3Symbols2">
        <cfvo type="percent" val="0"/>
        <cfvo type="percent" val="$AA$15"/>
        <cfvo type="percent" val="$AA$13"/>
      </iconSet>
    </cfRule>
  </conditionalFormatting>
  <conditionalFormatting sqref="T12">
    <cfRule type="iconSet" priority="2446">
      <iconSet iconSet="3Symbols2">
        <cfvo type="percent" val="0"/>
        <cfvo type="percent" val="$AA$15"/>
        <cfvo type="percent" val="$AA$13"/>
      </iconSet>
    </cfRule>
  </conditionalFormatting>
  <conditionalFormatting sqref="H11">
    <cfRule type="iconSet" priority="2447">
      <iconSet iconSet="3Symbols2">
        <cfvo type="percent" val="0"/>
        <cfvo type="percent" val="33"/>
        <cfvo type="percent" val="$I$15"/>
      </iconSet>
    </cfRule>
    <cfRule type="iconSet" priority="2448">
      <iconSet iconSet="3Symbols2">
        <cfvo type="percent" val="0"/>
        <cfvo type="percent" val="33"/>
        <cfvo type="percent" val="67"/>
      </iconSet>
    </cfRule>
  </conditionalFormatting>
  <conditionalFormatting sqref="H11:I11">
    <cfRule type="iconSet" priority="2449">
      <iconSet iconSet="3Symbols2">
        <cfvo type="percent" val="0"/>
        <cfvo type="percent" val="$AA$15"/>
        <cfvo type="percent" val="$AA$13"/>
      </iconSet>
    </cfRule>
  </conditionalFormatting>
  <conditionalFormatting sqref="I11">
    <cfRule type="iconSet" priority="2450">
      <iconSet iconSet="3Symbols2">
        <cfvo type="percent" val="0"/>
        <cfvo type="percent" val="$AA$15"/>
        <cfvo type="percent" val="$AA$13"/>
      </iconSet>
    </cfRule>
  </conditionalFormatting>
  <conditionalFormatting sqref="H11">
    <cfRule type="iconSet" priority="2451">
      <iconSet iconSet="3Symbols2">
        <cfvo type="percent" val="0"/>
        <cfvo type="percent" val="$AA$15"/>
        <cfvo type="percent" val="$AA$13"/>
      </iconSet>
    </cfRule>
  </conditionalFormatting>
  <conditionalFormatting sqref="J11">
    <cfRule type="iconSet" priority="2452">
      <iconSet iconSet="3Symbols2">
        <cfvo type="percent" val="0"/>
        <cfvo type="percent" val="33"/>
        <cfvo type="percent" val="$I$15"/>
      </iconSet>
    </cfRule>
    <cfRule type="iconSet" priority="2453">
      <iconSet iconSet="3Symbols2">
        <cfvo type="percent" val="0"/>
        <cfvo type="percent" val="33"/>
        <cfvo type="percent" val="67"/>
      </iconSet>
    </cfRule>
  </conditionalFormatting>
  <conditionalFormatting sqref="J11:K11">
    <cfRule type="iconSet" priority="2454">
      <iconSet iconSet="3Symbols2">
        <cfvo type="percent" val="0"/>
        <cfvo type="percent" val="$AA$15"/>
        <cfvo type="percent" val="$AA$13"/>
      </iconSet>
    </cfRule>
  </conditionalFormatting>
  <conditionalFormatting sqref="K11">
    <cfRule type="iconSet" priority="2455">
      <iconSet iconSet="3Symbols2">
        <cfvo type="percent" val="0"/>
        <cfvo type="percent" val="$AA$15"/>
        <cfvo type="percent" val="$AA$13"/>
      </iconSet>
    </cfRule>
  </conditionalFormatting>
  <conditionalFormatting sqref="J11">
    <cfRule type="iconSet" priority="2456">
      <iconSet iconSet="3Symbols2">
        <cfvo type="percent" val="0"/>
        <cfvo type="percent" val="$AA$15"/>
        <cfvo type="percent" val="$AA$13"/>
      </iconSet>
    </cfRule>
  </conditionalFormatting>
  <conditionalFormatting sqref="L11">
    <cfRule type="iconSet" priority="2457">
      <iconSet iconSet="3Symbols2">
        <cfvo type="percent" val="0"/>
        <cfvo type="percent" val="33"/>
        <cfvo type="percent" val="$I$15"/>
      </iconSet>
    </cfRule>
    <cfRule type="iconSet" priority="2458">
      <iconSet iconSet="3Symbols2">
        <cfvo type="percent" val="0"/>
        <cfvo type="percent" val="33"/>
        <cfvo type="percent" val="67"/>
      </iconSet>
    </cfRule>
  </conditionalFormatting>
  <conditionalFormatting sqref="L11:M11">
    <cfRule type="iconSet" priority="2459">
      <iconSet iconSet="3Symbols2">
        <cfvo type="percent" val="0"/>
        <cfvo type="percent" val="$AA$15"/>
        <cfvo type="percent" val="$AA$13"/>
      </iconSet>
    </cfRule>
  </conditionalFormatting>
  <conditionalFormatting sqref="M11">
    <cfRule type="iconSet" priority="2460">
      <iconSet iconSet="3Symbols2">
        <cfvo type="percent" val="0"/>
        <cfvo type="percent" val="$AA$15"/>
        <cfvo type="percent" val="$AA$13"/>
      </iconSet>
    </cfRule>
  </conditionalFormatting>
  <conditionalFormatting sqref="L11">
    <cfRule type="iconSet" priority="2461">
      <iconSet iconSet="3Symbols2">
        <cfvo type="percent" val="0"/>
        <cfvo type="percent" val="$AA$15"/>
        <cfvo type="percent" val="$AA$13"/>
      </iconSet>
    </cfRule>
  </conditionalFormatting>
  <conditionalFormatting sqref="N11">
    <cfRule type="iconSet" priority="2462">
      <iconSet iconSet="3Symbols2">
        <cfvo type="percent" val="0"/>
        <cfvo type="percent" val="33"/>
        <cfvo type="percent" val="$I$15"/>
      </iconSet>
    </cfRule>
    <cfRule type="iconSet" priority="2463">
      <iconSet iconSet="3Symbols2">
        <cfvo type="percent" val="0"/>
        <cfvo type="percent" val="33"/>
        <cfvo type="percent" val="67"/>
      </iconSet>
    </cfRule>
  </conditionalFormatting>
  <conditionalFormatting sqref="N11:O11">
    <cfRule type="iconSet" priority="2464">
      <iconSet iconSet="3Symbols2">
        <cfvo type="percent" val="0"/>
        <cfvo type="percent" val="$AA$15"/>
        <cfvo type="percent" val="$AA$13"/>
      </iconSet>
    </cfRule>
  </conditionalFormatting>
  <conditionalFormatting sqref="O11">
    <cfRule type="iconSet" priority="2465">
      <iconSet iconSet="3Symbols2">
        <cfvo type="percent" val="0"/>
        <cfvo type="percent" val="$AA$15"/>
        <cfvo type="percent" val="$AA$13"/>
      </iconSet>
    </cfRule>
  </conditionalFormatting>
  <conditionalFormatting sqref="N11">
    <cfRule type="iconSet" priority="2466">
      <iconSet iconSet="3Symbols2">
        <cfvo type="percent" val="0"/>
        <cfvo type="percent" val="$AA$15"/>
        <cfvo type="percent" val="$AA$13"/>
      </iconSet>
    </cfRule>
  </conditionalFormatting>
  <conditionalFormatting sqref="P11">
    <cfRule type="iconSet" priority="2467">
      <iconSet iconSet="3Symbols2">
        <cfvo type="percent" val="0"/>
        <cfvo type="percent" val="33"/>
        <cfvo type="percent" val="$I$15"/>
      </iconSet>
    </cfRule>
    <cfRule type="iconSet" priority="2468">
      <iconSet iconSet="3Symbols2">
        <cfvo type="percent" val="0"/>
        <cfvo type="percent" val="33"/>
        <cfvo type="percent" val="67"/>
      </iconSet>
    </cfRule>
  </conditionalFormatting>
  <conditionalFormatting sqref="P11:Q11">
    <cfRule type="iconSet" priority="2469">
      <iconSet iconSet="3Symbols2">
        <cfvo type="percent" val="0"/>
        <cfvo type="percent" val="$AA$15"/>
        <cfvo type="percent" val="$AA$13"/>
      </iconSet>
    </cfRule>
  </conditionalFormatting>
  <conditionalFormatting sqref="Q11">
    <cfRule type="iconSet" priority="2470">
      <iconSet iconSet="3Symbols2">
        <cfvo type="percent" val="0"/>
        <cfvo type="percent" val="$AA$15"/>
        <cfvo type="percent" val="$AA$13"/>
      </iconSet>
    </cfRule>
  </conditionalFormatting>
  <conditionalFormatting sqref="P11">
    <cfRule type="iconSet" priority="2471">
      <iconSet iconSet="3Symbols2">
        <cfvo type="percent" val="0"/>
        <cfvo type="percent" val="$AA$15"/>
        <cfvo type="percent" val="$AA$13"/>
      </iconSet>
    </cfRule>
  </conditionalFormatting>
  <conditionalFormatting sqref="R11">
    <cfRule type="iconSet" priority="2472">
      <iconSet iconSet="3Symbols2">
        <cfvo type="percent" val="0"/>
        <cfvo type="percent" val="33"/>
        <cfvo type="percent" val="$I$15"/>
      </iconSet>
    </cfRule>
    <cfRule type="iconSet" priority="2473">
      <iconSet iconSet="3Symbols2">
        <cfvo type="percent" val="0"/>
        <cfvo type="percent" val="33"/>
        <cfvo type="percent" val="67"/>
      </iconSet>
    </cfRule>
  </conditionalFormatting>
  <conditionalFormatting sqref="R11:S11">
    <cfRule type="iconSet" priority="2474">
      <iconSet iconSet="3Symbols2">
        <cfvo type="percent" val="0"/>
        <cfvo type="percent" val="$AA$15"/>
        <cfvo type="percent" val="$AA$13"/>
      </iconSet>
    </cfRule>
  </conditionalFormatting>
  <conditionalFormatting sqref="S11">
    <cfRule type="iconSet" priority="2475">
      <iconSet iconSet="3Symbols2">
        <cfvo type="percent" val="0"/>
        <cfvo type="percent" val="$AA$15"/>
        <cfvo type="percent" val="$AA$13"/>
      </iconSet>
    </cfRule>
  </conditionalFormatting>
  <conditionalFormatting sqref="R11">
    <cfRule type="iconSet" priority="2476">
      <iconSet iconSet="3Symbols2">
        <cfvo type="percent" val="0"/>
        <cfvo type="percent" val="$AA$15"/>
        <cfvo type="percent" val="$AA$13"/>
      </iconSet>
    </cfRule>
  </conditionalFormatting>
  <conditionalFormatting sqref="T11">
    <cfRule type="iconSet" priority="2477">
      <iconSet iconSet="3Symbols2">
        <cfvo type="percent" val="0"/>
        <cfvo type="percent" val="33"/>
        <cfvo type="percent" val="$I$15"/>
      </iconSet>
    </cfRule>
    <cfRule type="iconSet" priority="2478">
      <iconSet iconSet="3Symbols2">
        <cfvo type="percent" val="0"/>
        <cfvo type="percent" val="33"/>
        <cfvo type="percent" val="67"/>
      </iconSet>
    </cfRule>
  </conditionalFormatting>
  <conditionalFormatting sqref="T11:U11">
    <cfRule type="iconSet" priority="2479">
      <iconSet iconSet="3Symbols2">
        <cfvo type="percent" val="0"/>
        <cfvo type="percent" val="$AA$15"/>
        <cfvo type="percent" val="$AA$13"/>
      </iconSet>
    </cfRule>
  </conditionalFormatting>
  <conditionalFormatting sqref="U11">
    <cfRule type="iconSet" priority="2480">
      <iconSet iconSet="3Symbols2">
        <cfvo type="percent" val="0"/>
        <cfvo type="percent" val="$AA$15"/>
        <cfvo type="percent" val="$AA$13"/>
      </iconSet>
    </cfRule>
  </conditionalFormatting>
  <conditionalFormatting sqref="T11">
    <cfRule type="iconSet" priority="2481">
      <iconSet iconSet="3Symbols2">
        <cfvo type="percent" val="0"/>
        <cfvo type="percent" val="$AA$15"/>
        <cfvo type="percent" val="$AA$13"/>
      </iconSet>
    </cfRule>
  </conditionalFormatting>
  <conditionalFormatting sqref="H10">
    <cfRule type="iconSet" priority="2517">
      <iconSet iconSet="3Symbols2">
        <cfvo type="percent" val="0"/>
        <cfvo type="percent" val="33"/>
        <cfvo type="percent" val="$I$15"/>
      </iconSet>
    </cfRule>
    <cfRule type="iconSet" priority="2518">
      <iconSet iconSet="3Symbols2">
        <cfvo type="percent" val="0"/>
        <cfvo type="percent" val="33"/>
        <cfvo type="percent" val="67"/>
      </iconSet>
    </cfRule>
  </conditionalFormatting>
  <conditionalFormatting sqref="H10:I10">
    <cfRule type="iconSet" priority="2519">
      <iconSet iconSet="3Symbols2">
        <cfvo type="percent" val="0"/>
        <cfvo type="percent" val="$AA$15"/>
        <cfvo type="percent" val="$AA$13"/>
      </iconSet>
    </cfRule>
  </conditionalFormatting>
  <conditionalFormatting sqref="I10">
    <cfRule type="iconSet" priority="2520">
      <iconSet iconSet="3Symbols2">
        <cfvo type="percent" val="0"/>
        <cfvo type="percent" val="$AA$15"/>
        <cfvo type="percent" val="$AA$13"/>
      </iconSet>
    </cfRule>
  </conditionalFormatting>
  <conditionalFormatting sqref="H10">
    <cfRule type="iconSet" priority="2521">
      <iconSet iconSet="3Symbols2">
        <cfvo type="percent" val="0"/>
        <cfvo type="percent" val="$AA$15"/>
        <cfvo type="percent" val="$AA$13"/>
      </iconSet>
    </cfRule>
  </conditionalFormatting>
  <conditionalFormatting sqref="J10">
    <cfRule type="iconSet" priority="2522">
      <iconSet iconSet="3Symbols2">
        <cfvo type="percent" val="0"/>
        <cfvo type="percent" val="33"/>
        <cfvo type="percent" val="$I$15"/>
      </iconSet>
    </cfRule>
    <cfRule type="iconSet" priority="2523">
      <iconSet iconSet="3Symbols2">
        <cfvo type="percent" val="0"/>
        <cfvo type="percent" val="33"/>
        <cfvo type="percent" val="67"/>
      </iconSet>
    </cfRule>
  </conditionalFormatting>
  <conditionalFormatting sqref="J10:K10">
    <cfRule type="iconSet" priority="2524">
      <iconSet iconSet="3Symbols2">
        <cfvo type="percent" val="0"/>
        <cfvo type="percent" val="$AA$15"/>
        <cfvo type="percent" val="$AA$13"/>
      </iconSet>
    </cfRule>
  </conditionalFormatting>
  <conditionalFormatting sqref="K10">
    <cfRule type="iconSet" priority="2525">
      <iconSet iconSet="3Symbols2">
        <cfvo type="percent" val="0"/>
        <cfvo type="percent" val="$AA$15"/>
        <cfvo type="percent" val="$AA$13"/>
      </iconSet>
    </cfRule>
  </conditionalFormatting>
  <conditionalFormatting sqref="J10">
    <cfRule type="iconSet" priority="2526">
      <iconSet iconSet="3Symbols2">
        <cfvo type="percent" val="0"/>
        <cfvo type="percent" val="$AA$15"/>
        <cfvo type="percent" val="$AA$13"/>
      </iconSet>
    </cfRule>
  </conditionalFormatting>
  <conditionalFormatting sqref="L10">
    <cfRule type="iconSet" priority="2527">
      <iconSet iconSet="3Symbols2">
        <cfvo type="percent" val="0"/>
        <cfvo type="percent" val="33"/>
        <cfvo type="percent" val="$I$15"/>
      </iconSet>
    </cfRule>
    <cfRule type="iconSet" priority="2528">
      <iconSet iconSet="3Symbols2">
        <cfvo type="percent" val="0"/>
        <cfvo type="percent" val="33"/>
        <cfvo type="percent" val="67"/>
      </iconSet>
    </cfRule>
  </conditionalFormatting>
  <conditionalFormatting sqref="L10:M10">
    <cfRule type="iconSet" priority="2529">
      <iconSet iconSet="3Symbols2">
        <cfvo type="percent" val="0"/>
        <cfvo type="percent" val="$AA$15"/>
        <cfvo type="percent" val="$AA$13"/>
      </iconSet>
    </cfRule>
  </conditionalFormatting>
  <conditionalFormatting sqref="M10">
    <cfRule type="iconSet" priority="2530">
      <iconSet iconSet="3Symbols2">
        <cfvo type="percent" val="0"/>
        <cfvo type="percent" val="$AA$15"/>
        <cfvo type="percent" val="$AA$13"/>
      </iconSet>
    </cfRule>
  </conditionalFormatting>
  <conditionalFormatting sqref="L10">
    <cfRule type="iconSet" priority="2531">
      <iconSet iconSet="3Symbols2">
        <cfvo type="percent" val="0"/>
        <cfvo type="percent" val="$AA$15"/>
        <cfvo type="percent" val="$AA$13"/>
      </iconSet>
    </cfRule>
  </conditionalFormatting>
  <conditionalFormatting sqref="N10">
    <cfRule type="iconSet" priority="2532">
      <iconSet iconSet="3Symbols2">
        <cfvo type="percent" val="0"/>
        <cfvo type="percent" val="33"/>
        <cfvo type="percent" val="$I$15"/>
      </iconSet>
    </cfRule>
    <cfRule type="iconSet" priority="2533">
      <iconSet iconSet="3Symbols2">
        <cfvo type="percent" val="0"/>
        <cfvo type="percent" val="33"/>
        <cfvo type="percent" val="67"/>
      </iconSet>
    </cfRule>
  </conditionalFormatting>
  <conditionalFormatting sqref="N10:O10">
    <cfRule type="iconSet" priority="2534">
      <iconSet iconSet="3Symbols2">
        <cfvo type="percent" val="0"/>
        <cfvo type="percent" val="$AA$15"/>
        <cfvo type="percent" val="$AA$13"/>
      </iconSet>
    </cfRule>
  </conditionalFormatting>
  <conditionalFormatting sqref="O10">
    <cfRule type="iconSet" priority="2535">
      <iconSet iconSet="3Symbols2">
        <cfvo type="percent" val="0"/>
        <cfvo type="percent" val="$AA$15"/>
        <cfvo type="percent" val="$AA$13"/>
      </iconSet>
    </cfRule>
  </conditionalFormatting>
  <conditionalFormatting sqref="N10">
    <cfRule type="iconSet" priority="2536">
      <iconSet iconSet="3Symbols2">
        <cfvo type="percent" val="0"/>
        <cfvo type="percent" val="$AA$15"/>
        <cfvo type="percent" val="$AA$13"/>
      </iconSet>
    </cfRule>
  </conditionalFormatting>
  <conditionalFormatting sqref="P10">
    <cfRule type="iconSet" priority="2537">
      <iconSet iconSet="3Symbols2">
        <cfvo type="percent" val="0"/>
        <cfvo type="percent" val="33"/>
        <cfvo type="percent" val="$I$15"/>
      </iconSet>
    </cfRule>
    <cfRule type="iconSet" priority="2538">
      <iconSet iconSet="3Symbols2">
        <cfvo type="percent" val="0"/>
        <cfvo type="percent" val="33"/>
        <cfvo type="percent" val="67"/>
      </iconSet>
    </cfRule>
  </conditionalFormatting>
  <conditionalFormatting sqref="P10:Q10">
    <cfRule type="iconSet" priority="2539">
      <iconSet iconSet="3Symbols2">
        <cfvo type="percent" val="0"/>
        <cfvo type="percent" val="$AA$15"/>
        <cfvo type="percent" val="$AA$13"/>
      </iconSet>
    </cfRule>
  </conditionalFormatting>
  <conditionalFormatting sqref="Q10">
    <cfRule type="iconSet" priority="2540">
      <iconSet iconSet="3Symbols2">
        <cfvo type="percent" val="0"/>
        <cfvo type="percent" val="$AA$15"/>
        <cfvo type="percent" val="$AA$13"/>
      </iconSet>
    </cfRule>
  </conditionalFormatting>
  <conditionalFormatting sqref="P10">
    <cfRule type="iconSet" priority="2541">
      <iconSet iconSet="3Symbols2">
        <cfvo type="percent" val="0"/>
        <cfvo type="percent" val="$AA$15"/>
        <cfvo type="percent" val="$AA$13"/>
      </iconSet>
    </cfRule>
  </conditionalFormatting>
  <conditionalFormatting sqref="R10">
    <cfRule type="iconSet" priority="2542">
      <iconSet iconSet="3Symbols2">
        <cfvo type="percent" val="0"/>
        <cfvo type="percent" val="33"/>
        <cfvo type="percent" val="$I$15"/>
      </iconSet>
    </cfRule>
    <cfRule type="iconSet" priority="2543">
      <iconSet iconSet="3Symbols2">
        <cfvo type="percent" val="0"/>
        <cfvo type="percent" val="33"/>
        <cfvo type="percent" val="67"/>
      </iconSet>
    </cfRule>
  </conditionalFormatting>
  <conditionalFormatting sqref="R10:S10">
    <cfRule type="iconSet" priority="2544">
      <iconSet iconSet="3Symbols2">
        <cfvo type="percent" val="0"/>
        <cfvo type="percent" val="$AA$15"/>
        <cfvo type="percent" val="$AA$13"/>
      </iconSet>
    </cfRule>
  </conditionalFormatting>
  <conditionalFormatting sqref="S10">
    <cfRule type="iconSet" priority="2545">
      <iconSet iconSet="3Symbols2">
        <cfvo type="percent" val="0"/>
        <cfvo type="percent" val="$AA$15"/>
        <cfvo type="percent" val="$AA$13"/>
      </iconSet>
    </cfRule>
  </conditionalFormatting>
  <conditionalFormatting sqref="R10">
    <cfRule type="iconSet" priority="2546">
      <iconSet iconSet="3Symbols2">
        <cfvo type="percent" val="0"/>
        <cfvo type="percent" val="$AA$15"/>
        <cfvo type="percent" val="$AA$13"/>
      </iconSet>
    </cfRule>
  </conditionalFormatting>
  <conditionalFormatting sqref="T10">
    <cfRule type="iconSet" priority="2547">
      <iconSet iconSet="3Symbols2">
        <cfvo type="percent" val="0"/>
        <cfvo type="percent" val="33"/>
        <cfvo type="percent" val="$I$15"/>
      </iconSet>
    </cfRule>
    <cfRule type="iconSet" priority="2548">
      <iconSet iconSet="3Symbols2">
        <cfvo type="percent" val="0"/>
        <cfvo type="percent" val="33"/>
        <cfvo type="percent" val="67"/>
      </iconSet>
    </cfRule>
  </conditionalFormatting>
  <conditionalFormatting sqref="T10:U10">
    <cfRule type="iconSet" priority="2549">
      <iconSet iconSet="3Symbols2">
        <cfvo type="percent" val="0"/>
        <cfvo type="percent" val="$AA$15"/>
        <cfvo type="percent" val="$AA$13"/>
      </iconSet>
    </cfRule>
  </conditionalFormatting>
  <conditionalFormatting sqref="U10">
    <cfRule type="iconSet" priority="2550">
      <iconSet iconSet="3Symbols2">
        <cfvo type="percent" val="0"/>
        <cfvo type="percent" val="$AA$15"/>
        <cfvo type="percent" val="$AA$13"/>
      </iconSet>
    </cfRule>
  </conditionalFormatting>
  <conditionalFormatting sqref="T10">
    <cfRule type="iconSet" priority="2551">
      <iconSet iconSet="3Symbols2">
        <cfvo type="percent" val="0"/>
        <cfvo type="percent" val="$AA$15"/>
        <cfvo type="percent" val="$AA$13"/>
      </iconSet>
    </cfRule>
  </conditionalFormatting>
  <conditionalFormatting sqref="H8">
    <cfRule type="iconSet" priority="3107">
      <iconSet iconSet="3Symbols2">
        <cfvo type="percent" val="0"/>
        <cfvo type="percent" val="33"/>
        <cfvo type="percent" val="$I$15"/>
      </iconSet>
    </cfRule>
    <cfRule type="iconSet" priority="3108">
      <iconSet iconSet="3Symbols2">
        <cfvo type="percent" val="0"/>
        <cfvo type="percent" val="33"/>
        <cfvo type="percent" val="67"/>
      </iconSet>
    </cfRule>
  </conditionalFormatting>
  <conditionalFormatting sqref="H8:I8">
    <cfRule type="iconSet" priority="3109">
      <iconSet iconSet="3Symbols2">
        <cfvo type="percent" val="0"/>
        <cfvo type="percent" val="$AA$15"/>
        <cfvo type="percent" val="$AA$13"/>
      </iconSet>
    </cfRule>
  </conditionalFormatting>
  <conditionalFormatting sqref="I8">
    <cfRule type="iconSet" priority="3110">
      <iconSet iconSet="3Symbols2">
        <cfvo type="percent" val="0"/>
        <cfvo type="percent" val="$AA$15"/>
        <cfvo type="percent" val="$AA$13"/>
      </iconSet>
    </cfRule>
  </conditionalFormatting>
  <conditionalFormatting sqref="H8">
    <cfRule type="iconSet" priority="3111">
      <iconSet iconSet="3Symbols2">
        <cfvo type="percent" val="0"/>
        <cfvo type="percent" val="$AA$15"/>
        <cfvo type="percent" val="$AA$13"/>
      </iconSet>
    </cfRule>
  </conditionalFormatting>
  <conditionalFormatting sqref="J8">
    <cfRule type="iconSet" priority="3112">
      <iconSet iconSet="3Symbols2">
        <cfvo type="percent" val="0"/>
        <cfvo type="percent" val="33"/>
        <cfvo type="percent" val="$I$15"/>
      </iconSet>
    </cfRule>
    <cfRule type="iconSet" priority="3113">
      <iconSet iconSet="3Symbols2">
        <cfvo type="percent" val="0"/>
        <cfvo type="percent" val="33"/>
        <cfvo type="percent" val="67"/>
      </iconSet>
    </cfRule>
  </conditionalFormatting>
  <conditionalFormatting sqref="J8:K8">
    <cfRule type="iconSet" priority="3114">
      <iconSet iconSet="3Symbols2">
        <cfvo type="percent" val="0"/>
        <cfvo type="percent" val="$AA$15"/>
        <cfvo type="percent" val="$AA$13"/>
      </iconSet>
    </cfRule>
  </conditionalFormatting>
  <conditionalFormatting sqref="K8">
    <cfRule type="iconSet" priority="3115">
      <iconSet iconSet="3Symbols2">
        <cfvo type="percent" val="0"/>
        <cfvo type="percent" val="$AA$15"/>
        <cfvo type="percent" val="$AA$13"/>
      </iconSet>
    </cfRule>
  </conditionalFormatting>
  <conditionalFormatting sqref="J8">
    <cfRule type="iconSet" priority="3116">
      <iconSet iconSet="3Symbols2">
        <cfvo type="percent" val="0"/>
        <cfvo type="percent" val="$AA$15"/>
        <cfvo type="percent" val="$AA$13"/>
      </iconSet>
    </cfRule>
  </conditionalFormatting>
  <conditionalFormatting sqref="L8">
    <cfRule type="iconSet" priority="3117">
      <iconSet iconSet="3Symbols2">
        <cfvo type="percent" val="0"/>
        <cfvo type="percent" val="33"/>
        <cfvo type="percent" val="$I$15"/>
      </iconSet>
    </cfRule>
    <cfRule type="iconSet" priority="3118">
      <iconSet iconSet="3Symbols2">
        <cfvo type="percent" val="0"/>
        <cfvo type="percent" val="33"/>
        <cfvo type="percent" val="67"/>
      </iconSet>
    </cfRule>
  </conditionalFormatting>
  <conditionalFormatting sqref="L8:M8">
    <cfRule type="iconSet" priority="3119">
      <iconSet iconSet="3Symbols2">
        <cfvo type="percent" val="0"/>
        <cfvo type="percent" val="$AA$15"/>
        <cfvo type="percent" val="$AA$13"/>
      </iconSet>
    </cfRule>
  </conditionalFormatting>
  <conditionalFormatting sqref="M8">
    <cfRule type="iconSet" priority="3120">
      <iconSet iconSet="3Symbols2">
        <cfvo type="percent" val="0"/>
        <cfvo type="percent" val="$AA$15"/>
        <cfvo type="percent" val="$AA$13"/>
      </iconSet>
    </cfRule>
  </conditionalFormatting>
  <conditionalFormatting sqref="L8">
    <cfRule type="iconSet" priority="3121">
      <iconSet iconSet="3Symbols2">
        <cfvo type="percent" val="0"/>
        <cfvo type="percent" val="$AA$15"/>
        <cfvo type="percent" val="$AA$13"/>
      </iconSet>
    </cfRule>
  </conditionalFormatting>
  <conditionalFormatting sqref="N8">
    <cfRule type="iconSet" priority="3122">
      <iconSet iconSet="3Symbols2">
        <cfvo type="percent" val="0"/>
        <cfvo type="percent" val="33"/>
        <cfvo type="percent" val="$I$15"/>
      </iconSet>
    </cfRule>
    <cfRule type="iconSet" priority="3123">
      <iconSet iconSet="3Symbols2">
        <cfvo type="percent" val="0"/>
        <cfvo type="percent" val="33"/>
        <cfvo type="percent" val="67"/>
      </iconSet>
    </cfRule>
  </conditionalFormatting>
  <conditionalFormatting sqref="N8:O8">
    <cfRule type="iconSet" priority="3124">
      <iconSet iconSet="3Symbols2">
        <cfvo type="percent" val="0"/>
        <cfvo type="percent" val="$AA$15"/>
        <cfvo type="percent" val="$AA$13"/>
      </iconSet>
    </cfRule>
  </conditionalFormatting>
  <conditionalFormatting sqref="O8">
    <cfRule type="iconSet" priority="3125">
      <iconSet iconSet="3Symbols2">
        <cfvo type="percent" val="0"/>
        <cfvo type="percent" val="$AA$15"/>
        <cfvo type="percent" val="$AA$13"/>
      </iconSet>
    </cfRule>
  </conditionalFormatting>
  <conditionalFormatting sqref="N8">
    <cfRule type="iconSet" priority="3126">
      <iconSet iconSet="3Symbols2">
        <cfvo type="percent" val="0"/>
        <cfvo type="percent" val="$AA$15"/>
        <cfvo type="percent" val="$AA$13"/>
      </iconSet>
    </cfRule>
  </conditionalFormatting>
  <conditionalFormatting sqref="P8">
    <cfRule type="iconSet" priority="3127">
      <iconSet iconSet="3Symbols2">
        <cfvo type="percent" val="0"/>
        <cfvo type="percent" val="33"/>
        <cfvo type="percent" val="$I$15"/>
      </iconSet>
    </cfRule>
    <cfRule type="iconSet" priority="3128">
      <iconSet iconSet="3Symbols2">
        <cfvo type="percent" val="0"/>
        <cfvo type="percent" val="33"/>
        <cfvo type="percent" val="67"/>
      </iconSet>
    </cfRule>
  </conditionalFormatting>
  <conditionalFormatting sqref="P8:Q8">
    <cfRule type="iconSet" priority="3129">
      <iconSet iconSet="3Symbols2">
        <cfvo type="percent" val="0"/>
        <cfvo type="percent" val="$AA$15"/>
        <cfvo type="percent" val="$AA$13"/>
      </iconSet>
    </cfRule>
  </conditionalFormatting>
  <conditionalFormatting sqref="Q8">
    <cfRule type="iconSet" priority="3130">
      <iconSet iconSet="3Symbols2">
        <cfvo type="percent" val="0"/>
        <cfvo type="percent" val="$AA$15"/>
        <cfvo type="percent" val="$AA$13"/>
      </iconSet>
    </cfRule>
  </conditionalFormatting>
  <conditionalFormatting sqref="P8">
    <cfRule type="iconSet" priority="3131">
      <iconSet iconSet="3Symbols2">
        <cfvo type="percent" val="0"/>
        <cfvo type="percent" val="$AA$15"/>
        <cfvo type="percent" val="$AA$13"/>
      </iconSet>
    </cfRule>
  </conditionalFormatting>
  <conditionalFormatting sqref="R8">
    <cfRule type="iconSet" priority="3132">
      <iconSet iconSet="3Symbols2">
        <cfvo type="percent" val="0"/>
        <cfvo type="percent" val="33"/>
        <cfvo type="percent" val="$I$15"/>
      </iconSet>
    </cfRule>
    <cfRule type="iconSet" priority="3133">
      <iconSet iconSet="3Symbols2">
        <cfvo type="percent" val="0"/>
        <cfvo type="percent" val="33"/>
        <cfvo type="percent" val="67"/>
      </iconSet>
    </cfRule>
  </conditionalFormatting>
  <conditionalFormatting sqref="R8:S8">
    <cfRule type="iconSet" priority="3134">
      <iconSet iconSet="3Symbols2">
        <cfvo type="percent" val="0"/>
        <cfvo type="percent" val="$AA$15"/>
        <cfvo type="percent" val="$AA$13"/>
      </iconSet>
    </cfRule>
  </conditionalFormatting>
  <conditionalFormatting sqref="S8">
    <cfRule type="iconSet" priority="3135">
      <iconSet iconSet="3Symbols2">
        <cfvo type="percent" val="0"/>
        <cfvo type="percent" val="$AA$15"/>
        <cfvo type="percent" val="$AA$13"/>
      </iconSet>
    </cfRule>
  </conditionalFormatting>
  <conditionalFormatting sqref="R8">
    <cfRule type="iconSet" priority="3136">
      <iconSet iconSet="3Symbols2">
        <cfvo type="percent" val="0"/>
        <cfvo type="percent" val="$AA$15"/>
        <cfvo type="percent" val="$AA$13"/>
      </iconSet>
    </cfRule>
  </conditionalFormatting>
  <conditionalFormatting sqref="T8">
    <cfRule type="iconSet" priority="3137">
      <iconSet iconSet="3Symbols2">
        <cfvo type="percent" val="0"/>
        <cfvo type="percent" val="33"/>
        <cfvo type="percent" val="$I$15"/>
      </iconSet>
    </cfRule>
    <cfRule type="iconSet" priority="3138">
      <iconSet iconSet="3Symbols2">
        <cfvo type="percent" val="0"/>
        <cfvo type="percent" val="33"/>
        <cfvo type="percent" val="67"/>
      </iconSet>
    </cfRule>
  </conditionalFormatting>
  <conditionalFormatting sqref="T8:U8 U5">
    <cfRule type="iconSet" priority="3139">
      <iconSet iconSet="3Symbols2">
        <cfvo type="percent" val="0"/>
        <cfvo type="percent" val="$AA$15"/>
        <cfvo type="percent" val="$AA$13"/>
      </iconSet>
    </cfRule>
  </conditionalFormatting>
  <conditionalFormatting sqref="U8 U5">
    <cfRule type="iconSet" priority="3140">
      <iconSet iconSet="3Symbols2">
        <cfvo type="percent" val="0"/>
        <cfvo type="percent" val="$AA$15"/>
        <cfvo type="percent" val="$AA$13"/>
      </iconSet>
    </cfRule>
  </conditionalFormatting>
  <conditionalFormatting sqref="T8">
    <cfRule type="iconSet" priority="3141">
      <iconSet iconSet="3Symbols2">
        <cfvo type="percent" val="0"/>
        <cfvo type="percent" val="$AA$15"/>
        <cfvo type="percent" val="$AA$13"/>
      </iconSet>
    </cfRule>
  </conditionalFormatting>
  <conditionalFormatting sqref="H9">
    <cfRule type="iconSet" priority="3142">
      <iconSet iconSet="3Symbols2">
        <cfvo type="percent" val="0"/>
        <cfvo type="percent" val="33"/>
        <cfvo type="percent" val="$I$15"/>
      </iconSet>
    </cfRule>
    <cfRule type="iconSet" priority="3143">
      <iconSet iconSet="3Symbols2">
        <cfvo type="percent" val="0"/>
        <cfvo type="percent" val="33"/>
        <cfvo type="percent" val="67"/>
      </iconSet>
    </cfRule>
  </conditionalFormatting>
  <conditionalFormatting sqref="H9:I9">
    <cfRule type="iconSet" priority="3144">
      <iconSet iconSet="3Symbols2">
        <cfvo type="percent" val="0"/>
        <cfvo type="percent" val="$AA$15"/>
        <cfvo type="percent" val="$AA$13"/>
      </iconSet>
    </cfRule>
  </conditionalFormatting>
  <conditionalFormatting sqref="I9">
    <cfRule type="iconSet" priority="3145">
      <iconSet iconSet="3Symbols2">
        <cfvo type="percent" val="0"/>
        <cfvo type="percent" val="$AA$15"/>
        <cfvo type="percent" val="$AA$13"/>
      </iconSet>
    </cfRule>
  </conditionalFormatting>
  <conditionalFormatting sqref="H9">
    <cfRule type="iconSet" priority="3146">
      <iconSet iconSet="3Symbols2">
        <cfvo type="percent" val="0"/>
        <cfvo type="percent" val="$AA$15"/>
        <cfvo type="percent" val="$AA$13"/>
      </iconSet>
    </cfRule>
  </conditionalFormatting>
  <conditionalFormatting sqref="J9">
    <cfRule type="iconSet" priority="3147">
      <iconSet iconSet="3Symbols2">
        <cfvo type="percent" val="0"/>
        <cfvo type="percent" val="33"/>
        <cfvo type="percent" val="$I$15"/>
      </iconSet>
    </cfRule>
    <cfRule type="iconSet" priority="3148">
      <iconSet iconSet="3Symbols2">
        <cfvo type="percent" val="0"/>
        <cfvo type="percent" val="33"/>
        <cfvo type="percent" val="67"/>
      </iconSet>
    </cfRule>
  </conditionalFormatting>
  <conditionalFormatting sqref="J9:K9">
    <cfRule type="iconSet" priority="3149">
      <iconSet iconSet="3Symbols2">
        <cfvo type="percent" val="0"/>
        <cfvo type="percent" val="$AA$15"/>
        <cfvo type="percent" val="$AA$13"/>
      </iconSet>
    </cfRule>
  </conditionalFormatting>
  <conditionalFormatting sqref="K9">
    <cfRule type="iconSet" priority="3150">
      <iconSet iconSet="3Symbols2">
        <cfvo type="percent" val="0"/>
        <cfvo type="percent" val="$AA$15"/>
        <cfvo type="percent" val="$AA$13"/>
      </iconSet>
    </cfRule>
  </conditionalFormatting>
  <conditionalFormatting sqref="J9">
    <cfRule type="iconSet" priority="3151">
      <iconSet iconSet="3Symbols2">
        <cfvo type="percent" val="0"/>
        <cfvo type="percent" val="$AA$15"/>
        <cfvo type="percent" val="$AA$13"/>
      </iconSet>
    </cfRule>
  </conditionalFormatting>
  <conditionalFormatting sqref="L9">
    <cfRule type="iconSet" priority="3152">
      <iconSet iconSet="3Symbols2">
        <cfvo type="percent" val="0"/>
        <cfvo type="percent" val="33"/>
        <cfvo type="percent" val="$I$15"/>
      </iconSet>
    </cfRule>
    <cfRule type="iconSet" priority="3153">
      <iconSet iconSet="3Symbols2">
        <cfvo type="percent" val="0"/>
        <cfvo type="percent" val="33"/>
        <cfvo type="percent" val="67"/>
      </iconSet>
    </cfRule>
  </conditionalFormatting>
  <conditionalFormatting sqref="L9:M9">
    <cfRule type="iconSet" priority="3154">
      <iconSet iconSet="3Symbols2">
        <cfvo type="percent" val="0"/>
        <cfvo type="percent" val="$AA$15"/>
        <cfvo type="percent" val="$AA$13"/>
      </iconSet>
    </cfRule>
  </conditionalFormatting>
  <conditionalFormatting sqref="M9">
    <cfRule type="iconSet" priority="3155">
      <iconSet iconSet="3Symbols2">
        <cfvo type="percent" val="0"/>
        <cfvo type="percent" val="$AA$15"/>
        <cfvo type="percent" val="$AA$13"/>
      </iconSet>
    </cfRule>
  </conditionalFormatting>
  <conditionalFormatting sqref="L9">
    <cfRule type="iconSet" priority="3156">
      <iconSet iconSet="3Symbols2">
        <cfvo type="percent" val="0"/>
        <cfvo type="percent" val="$AA$15"/>
        <cfvo type="percent" val="$AA$13"/>
      </iconSet>
    </cfRule>
  </conditionalFormatting>
  <conditionalFormatting sqref="N9">
    <cfRule type="iconSet" priority="3157">
      <iconSet iconSet="3Symbols2">
        <cfvo type="percent" val="0"/>
        <cfvo type="percent" val="33"/>
        <cfvo type="percent" val="$I$15"/>
      </iconSet>
    </cfRule>
    <cfRule type="iconSet" priority="3158">
      <iconSet iconSet="3Symbols2">
        <cfvo type="percent" val="0"/>
        <cfvo type="percent" val="33"/>
        <cfvo type="percent" val="67"/>
      </iconSet>
    </cfRule>
  </conditionalFormatting>
  <conditionalFormatting sqref="N9:O9">
    <cfRule type="iconSet" priority="3159">
      <iconSet iconSet="3Symbols2">
        <cfvo type="percent" val="0"/>
        <cfvo type="percent" val="$AA$15"/>
        <cfvo type="percent" val="$AA$13"/>
      </iconSet>
    </cfRule>
  </conditionalFormatting>
  <conditionalFormatting sqref="O9">
    <cfRule type="iconSet" priority="3160">
      <iconSet iconSet="3Symbols2">
        <cfvo type="percent" val="0"/>
        <cfvo type="percent" val="$AA$15"/>
        <cfvo type="percent" val="$AA$13"/>
      </iconSet>
    </cfRule>
  </conditionalFormatting>
  <conditionalFormatting sqref="N9">
    <cfRule type="iconSet" priority="3161">
      <iconSet iconSet="3Symbols2">
        <cfvo type="percent" val="0"/>
        <cfvo type="percent" val="$AA$15"/>
        <cfvo type="percent" val="$AA$13"/>
      </iconSet>
    </cfRule>
  </conditionalFormatting>
  <conditionalFormatting sqref="P9">
    <cfRule type="iconSet" priority="3162">
      <iconSet iconSet="3Symbols2">
        <cfvo type="percent" val="0"/>
        <cfvo type="percent" val="33"/>
        <cfvo type="percent" val="$I$15"/>
      </iconSet>
    </cfRule>
    <cfRule type="iconSet" priority="3163">
      <iconSet iconSet="3Symbols2">
        <cfvo type="percent" val="0"/>
        <cfvo type="percent" val="33"/>
        <cfvo type="percent" val="67"/>
      </iconSet>
    </cfRule>
  </conditionalFormatting>
  <conditionalFormatting sqref="P9:Q9">
    <cfRule type="iconSet" priority="3164">
      <iconSet iconSet="3Symbols2">
        <cfvo type="percent" val="0"/>
        <cfvo type="percent" val="$AA$15"/>
        <cfvo type="percent" val="$AA$13"/>
      </iconSet>
    </cfRule>
  </conditionalFormatting>
  <conditionalFormatting sqref="Q9">
    <cfRule type="iconSet" priority="3165">
      <iconSet iconSet="3Symbols2">
        <cfvo type="percent" val="0"/>
        <cfvo type="percent" val="$AA$15"/>
        <cfvo type="percent" val="$AA$13"/>
      </iconSet>
    </cfRule>
  </conditionalFormatting>
  <conditionalFormatting sqref="P9">
    <cfRule type="iconSet" priority="3166">
      <iconSet iconSet="3Symbols2">
        <cfvo type="percent" val="0"/>
        <cfvo type="percent" val="$AA$15"/>
        <cfvo type="percent" val="$AA$13"/>
      </iconSet>
    </cfRule>
  </conditionalFormatting>
  <conditionalFormatting sqref="R9">
    <cfRule type="iconSet" priority="3167">
      <iconSet iconSet="3Symbols2">
        <cfvo type="percent" val="0"/>
        <cfvo type="percent" val="33"/>
        <cfvo type="percent" val="$I$15"/>
      </iconSet>
    </cfRule>
    <cfRule type="iconSet" priority="3168">
      <iconSet iconSet="3Symbols2">
        <cfvo type="percent" val="0"/>
        <cfvo type="percent" val="33"/>
        <cfvo type="percent" val="67"/>
      </iconSet>
    </cfRule>
  </conditionalFormatting>
  <conditionalFormatting sqref="R9:S9">
    <cfRule type="iconSet" priority="3169">
      <iconSet iconSet="3Symbols2">
        <cfvo type="percent" val="0"/>
        <cfvo type="percent" val="$AA$15"/>
        <cfvo type="percent" val="$AA$13"/>
      </iconSet>
    </cfRule>
  </conditionalFormatting>
  <conditionalFormatting sqref="S9">
    <cfRule type="iconSet" priority="3170">
      <iconSet iconSet="3Symbols2">
        <cfvo type="percent" val="0"/>
        <cfvo type="percent" val="$AA$15"/>
        <cfvo type="percent" val="$AA$13"/>
      </iconSet>
    </cfRule>
  </conditionalFormatting>
  <conditionalFormatting sqref="R9">
    <cfRule type="iconSet" priority="3171">
      <iconSet iconSet="3Symbols2">
        <cfvo type="percent" val="0"/>
        <cfvo type="percent" val="$AA$15"/>
        <cfvo type="percent" val="$AA$13"/>
      </iconSet>
    </cfRule>
  </conditionalFormatting>
  <conditionalFormatting sqref="T9">
    <cfRule type="iconSet" priority="3172">
      <iconSet iconSet="3Symbols2">
        <cfvo type="percent" val="0"/>
        <cfvo type="percent" val="33"/>
        <cfvo type="percent" val="$I$15"/>
      </iconSet>
    </cfRule>
    <cfRule type="iconSet" priority="3173">
      <iconSet iconSet="3Symbols2">
        <cfvo type="percent" val="0"/>
        <cfvo type="percent" val="33"/>
        <cfvo type="percent" val="67"/>
      </iconSet>
    </cfRule>
  </conditionalFormatting>
  <conditionalFormatting sqref="T9:U9">
    <cfRule type="iconSet" priority="3174">
      <iconSet iconSet="3Symbols2">
        <cfvo type="percent" val="0"/>
        <cfvo type="percent" val="$AA$15"/>
        <cfvo type="percent" val="$AA$13"/>
      </iconSet>
    </cfRule>
  </conditionalFormatting>
  <conditionalFormatting sqref="U9">
    <cfRule type="iconSet" priority="3175">
      <iconSet iconSet="3Symbols2">
        <cfvo type="percent" val="0"/>
        <cfvo type="percent" val="$AA$15"/>
        <cfvo type="percent" val="$AA$13"/>
      </iconSet>
    </cfRule>
  </conditionalFormatting>
  <conditionalFormatting sqref="T9">
    <cfRule type="iconSet" priority="3176">
      <iconSet iconSet="3Symbols2">
        <cfvo type="percent" val="0"/>
        <cfvo type="percent" val="$AA$15"/>
        <cfvo type="percent" val="$AA$13"/>
      </iconSet>
    </cfRule>
  </conditionalFormatting>
  <conditionalFormatting sqref="H8">
    <cfRule type="iconSet" priority="3177">
      <iconSet iconSet="3Symbols2">
        <cfvo type="percent" val="0"/>
        <cfvo type="percent" val="33"/>
        <cfvo type="percent" val="$I$15"/>
      </iconSet>
    </cfRule>
    <cfRule type="iconSet" priority="3178">
      <iconSet iconSet="3Symbols2">
        <cfvo type="percent" val="0"/>
        <cfvo type="percent" val="33"/>
        <cfvo type="percent" val="67"/>
      </iconSet>
    </cfRule>
  </conditionalFormatting>
  <conditionalFormatting sqref="H8:I8">
    <cfRule type="iconSet" priority="3179">
      <iconSet iconSet="3Symbols2">
        <cfvo type="percent" val="0"/>
        <cfvo type="percent" val="$AA$15"/>
        <cfvo type="percent" val="$AA$13"/>
      </iconSet>
    </cfRule>
  </conditionalFormatting>
  <conditionalFormatting sqref="I8">
    <cfRule type="iconSet" priority="3180">
      <iconSet iconSet="3Symbols2">
        <cfvo type="percent" val="0"/>
        <cfvo type="percent" val="$AA$15"/>
        <cfvo type="percent" val="$AA$13"/>
      </iconSet>
    </cfRule>
  </conditionalFormatting>
  <conditionalFormatting sqref="H8">
    <cfRule type="iconSet" priority="3181">
      <iconSet iconSet="3Symbols2">
        <cfvo type="percent" val="0"/>
        <cfvo type="percent" val="$AA$15"/>
        <cfvo type="percent" val="$AA$13"/>
      </iconSet>
    </cfRule>
  </conditionalFormatting>
  <conditionalFormatting sqref="J8">
    <cfRule type="iconSet" priority="3182">
      <iconSet iconSet="3Symbols2">
        <cfvo type="percent" val="0"/>
        <cfvo type="percent" val="33"/>
        <cfvo type="percent" val="$I$15"/>
      </iconSet>
    </cfRule>
    <cfRule type="iconSet" priority="3183">
      <iconSet iconSet="3Symbols2">
        <cfvo type="percent" val="0"/>
        <cfvo type="percent" val="33"/>
        <cfvo type="percent" val="67"/>
      </iconSet>
    </cfRule>
  </conditionalFormatting>
  <conditionalFormatting sqref="J8:K8">
    <cfRule type="iconSet" priority="3184">
      <iconSet iconSet="3Symbols2">
        <cfvo type="percent" val="0"/>
        <cfvo type="percent" val="$AA$15"/>
        <cfvo type="percent" val="$AA$13"/>
      </iconSet>
    </cfRule>
  </conditionalFormatting>
  <conditionalFormatting sqref="K8">
    <cfRule type="iconSet" priority="3185">
      <iconSet iconSet="3Symbols2">
        <cfvo type="percent" val="0"/>
        <cfvo type="percent" val="$AA$15"/>
        <cfvo type="percent" val="$AA$13"/>
      </iconSet>
    </cfRule>
  </conditionalFormatting>
  <conditionalFormatting sqref="J8">
    <cfRule type="iconSet" priority="3186">
      <iconSet iconSet="3Symbols2">
        <cfvo type="percent" val="0"/>
        <cfvo type="percent" val="$AA$15"/>
        <cfvo type="percent" val="$AA$13"/>
      </iconSet>
    </cfRule>
  </conditionalFormatting>
  <conditionalFormatting sqref="L8">
    <cfRule type="iconSet" priority="3187">
      <iconSet iconSet="3Symbols2">
        <cfvo type="percent" val="0"/>
        <cfvo type="percent" val="33"/>
        <cfvo type="percent" val="$I$15"/>
      </iconSet>
    </cfRule>
    <cfRule type="iconSet" priority="3188">
      <iconSet iconSet="3Symbols2">
        <cfvo type="percent" val="0"/>
        <cfvo type="percent" val="33"/>
        <cfvo type="percent" val="67"/>
      </iconSet>
    </cfRule>
  </conditionalFormatting>
  <conditionalFormatting sqref="L8:M8">
    <cfRule type="iconSet" priority="3189">
      <iconSet iconSet="3Symbols2">
        <cfvo type="percent" val="0"/>
        <cfvo type="percent" val="$AA$15"/>
        <cfvo type="percent" val="$AA$13"/>
      </iconSet>
    </cfRule>
  </conditionalFormatting>
  <conditionalFormatting sqref="M8">
    <cfRule type="iconSet" priority="3190">
      <iconSet iconSet="3Symbols2">
        <cfvo type="percent" val="0"/>
        <cfvo type="percent" val="$AA$15"/>
        <cfvo type="percent" val="$AA$13"/>
      </iconSet>
    </cfRule>
  </conditionalFormatting>
  <conditionalFormatting sqref="L8">
    <cfRule type="iconSet" priority="3191">
      <iconSet iconSet="3Symbols2">
        <cfvo type="percent" val="0"/>
        <cfvo type="percent" val="$AA$15"/>
        <cfvo type="percent" val="$AA$13"/>
      </iconSet>
    </cfRule>
  </conditionalFormatting>
  <conditionalFormatting sqref="N8">
    <cfRule type="iconSet" priority="3192">
      <iconSet iconSet="3Symbols2">
        <cfvo type="percent" val="0"/>
        <cfvo type="percent" val="33"/>
        <cfvo type="percent" val="$I$15"/>
      </iconSet>
    </cfRule>
    <cfRule type="iconSet" priority="3193">
      <iconSet iconSet="3Symbols2">
        <cfvo type="percent" val="0"/>
        <cfvo type="percent" val="33"/>
        <cfvo type="percent" val="67"/>
      </iconSet>
    </cfRule>
  </conditionalFormatting>
  <conditionalFormatting sqref="N8:O8">
    <cfRule type="iconSet" priority="3194">
      <iconSet iconSet="3Symbols2">
        <cfvo type="percent" val="0"/>
        <cfvo type="percent" val="$AA$15"/>
        <cfvo type="percent" val="$AA$13"/>
      </iconSet>
    </cfRule>
  </conditionalFormatting>
  <conditionalFormatting sqref="O8">
    <cfRule type="iconSet" priority="3195">
      <iconSet iconSet="3Symbols2">
        <cfvo type="percent" val="0"/>
        <cfvo type="percent" val="$AA$15"/>
        <cfvo type="percent" val="$AA$13"/>
      </iconSet>
    </cfRule>
  </conditionalFormatting>
  <conditionalFormatting sqref="N8">
    <cfRule type="iconSet" priority="3196">
      <iconSet iconSet="3Symbols2">
        <cfvo type="percent" val="0"/>
        <cfvo type="percent" val="$AA$15"/>
        <cfvo type="percent" val="$AA$13"/>
      </iconSet>
    </cfRule>
  </conditionalFormatting>
  <conditionalFormatting sqref="P8">
    <cfRule type="iconSet" priority="3197">
      <iconSet iconSet="3Symbols2">
        <cfvo type="percent" val="0"/>
        <cfvo type="percent" val="33"/>
        <cfvo type="percent" val="$I$15"/>
      </iconSet>
    </cfRule>
    <cfRule type="iconSet" priority="3198">
      <iconSet iconSet="3Symbols2">
        <cfvo type="percent" val="0"/>
        <cfvo type="percent" val="33"/>
        <cfvo type="percent" val="67"/>
      </iconSet>
    </cfRule>
  </conditionalFormatting>
  <conditionalFormatting sqref="P8:Q8">
    <cfRule type="iconSet" priority="3199">
      <iconSet iconSet="3Symbols2">
        <cfvo type="percent" val="0"/>
        <cfvo type="percent" val="$AA$15"/>
        <cfvo type="percent" val="$AA$13"/>
      </iconSet>
    </cfRule>
  </conditionalFormatting>
  <conditionalFormatting sqref="Q8">
    <cfRule type="iconSet" priority="3200">
      <iconSet iconSet="3Symbols2">
        <cfvo type="percent" val="0"/>
        <cfvo type="percent" val="$AA$15"/>
        <cfvo type="percent" val="$AA$13"/>
      </iconSet>
    </cfRule>
  </conditionalFormatting>
  <conditionalFormatting sqref="P8">
    <cfRule type="iconSet" priority="3201">
      <iconSet iconSet="3Symbols2">
        <cfvo type="percent" val="0"/>
        <cfvo type="percent" val="$AA$15"/>
        <cfvo type="percent" val="$AA$13"/>
      </iconSet>
    </cfRule>
  </conditionalFormatting>
  <conditionalFormatting sqref="R8">
    <cfRule type="iconSet" priority="3202">
      <iconSet iconSet="3Symbols2">
        <cfvo type="percent" val="0"/>
        <cfvo type="percent" val="33"/>
        <cfvo type="percent" val="$I$15"/>
      </iconSet>
    </cfRule>
    <cfRule type="iconSet" priority="3203">
      <iconSet iconSet="3Symbols2">
        <cfvo type="percent" val="0"/>
        <cfvo type="percent" val="33"/>
        <cfvo type="percent" val="67"/>
      </iconSet>
    </cfRule>
  </conditionalFormatting>
  <conditionalFormatting sqref="R8:S8">
    <cfRule type="iconSet" priority="3204">
      <iconSet iconSet="3Symbols2">
        <cfvo type="percent" val="0"/>
        <cfvo type="percent" val="$AA$15"/>
        <cfvo type="percent" val="$AA$13"/>
      </iconSet>
    </cfRule>
  </conditionalFormatting>
  <conditionalFormatting sqref="S8">
    <cfRule type="iconSet" priority="3205">
      <iconSet iconSet="3Symbols2">
        <cfvo type="percent" val="0"/>
        <cfvo type="percent" val="$AA$15"/>
        <cfvo type="percent" val="$AA$13"/>
      </iconSet>
    </cfRule>
  </conditionalFormatting>
  <conditionalFormatting sqref="R8">
    <cfRule type="iconSet" priority="3206">
      <iconSet iconSet="3Symbols2">
        <cfvo type="percent" val="0"/>
        <cfvo type="percent" val="$AA$15"/>
        <cfvo type="percent" val="$AA$13"/>
      </iconSet>
    </cfRule>
  </conditionalFormatting>
  <conditionalFormatting sqref="T8">
    <cfRule type="iconSet" priority="3207">
      <iconSet iconSet="3Symbols2">
        <cfvo type="percent" val="0"/>
        <cfvo type="percent" val="33"/>
        <cfvo type="percent" val="$I$15"/>
      </iconSet>
    </cfRule>
    <cfRule type="iconSet" priority="3208">
      <iconSet iconSet="3Symbols2">
        <cfvo type="percent" val="0"/>
        <cfvo type="percent" val="33"/>
        <cfvo type="percent" val="67"/>
      </iconSet>
    </cfRule>
  </conditionalFormatting>
  <conditionalFormatting sqref="T8:U8">
    <cfRule type="iconSet" priority="3209">
      <iconSet iconSet="3Symbols2">
        <cfvo type="percent" val="0"/>
        <cfvo type="percent" val="$AA$15"/>
        <cfvo type="percent" val="$AA$13"/>
      </iconSet>
    </cfRule>
  </conditionalFormatting>
  <conditionalFormatting sqref="U8">
    <cfRule type="iconSet" priority="3210">
      <iconSet iconSet="3Symbols2">
        <cfvo type="percent" val="0"/>
        <cfvo type="percent" val="$AA$15"/>
        <cfvo type="percent" val="$AA$13"/>
      </iconSet>
    </cfRule>
  </conditionalFormatting>
  <conditionalFormatting sqref="T8">
    <cfRule type="iconSet" priority="3211">
      <iconSet iconSet="3Symbols2">
        <cfvo type="percent" val="0"/>
        <cfvo type="percent" val="$AA$15"/>
        <cfvo type="percent" val="$AA$13"/>
      </iconSet>
    </cfRule>
  </conditionalFormatting>
  <conditionalFormatting sqref="H7">
    <cfRule type="iconSet" priority="279">
      <iconSet iconSet="3Symbols2">
        <cfvo type="percent" val="0"/>
        <cfvo type="percent" val="33"/>
        <cfvo type="percent" val="$I$15"/>
      </iconSet>
    </cfRule>
    <cfRule type="iconSet" priority="280">
      <iconSet iconSet="3Symbols2">
        <cfvo type="percent" val="0"/>
        <cfvo type="percent" val="33"/>
        <cfvo type="percent" val="67"/>
      </iconSet>
    </cfRule>
  </conditionalFormatting>
  <conditionalFormatting sqref="H7:I7">
    <cfRule type="iconSet" priority="278">
      <iconSet iconSet="3Symbols2">
        <cfvo type="percent" val="0"/>
        <cfvo type="percent" val="$AA$15"/>
        <cfvo type="percent" val="$AA$13"/>
      </iconSet>
    </cfRule>
  </conditionalFormatting>
  <conditionalFormatting sqref="I7">
    <cfRule type="iconSet" priority="277">
      <iconSet iconSet="3Symbols2">
        <cfvo type="percent" val="0"/>
        <cfvo type="percent" val="$AA$15"/>
        <cfvo type="percent" val="$AA$13"/>
      </iconSet>
    </cfRule>
  </conditionalFormatting>
  <conditionalFormatting sqref="H7">
    <cfRule type="iconSet" priority="276">
      <iconSet iconSet="3Symbols2">
        <cfvo type="percent" val="0"/>
        <cfvo type="percent" val="$AA$15"/>
        <cfvo type="percent" val="$AA$13"/>
      </iconSet>
    </cfRule>
  </conditionalFormatting>
  <conditionalFormatting sqref="J7">
    <cfRule type="iconSet" priority="274">
      <iconSet iconSet="3Symbols2">
        <cfvo type="percent" val="0"/>
        <cfvo type="percent" val="33"/>
        <cfvo type="percent" val="$I$15"/>
      </iconSet>
    </cfRule>
    <cfRule type="iconSet" priority="275">
      <iconSet iconSet="3Symbols2">
        <cfvo type="percent" val="0"/>
        <cfvo type="percent" val="33"/>
        <cfvo type="percent" val="67"/>
      </iconSet>
    </cfRule>
  </conditionalFormatting>
  <conditionalFormatting sqref="J7:K7">
    <cfRule type="iconSet" priority="273">
      <iconSet iconSet="3Symbols2">
        <cfvo type="percent" val="0"/>
        <cfvo type="percent" val="$AA$15"/>
        <cfvo type="percent" val="$AA$13"/>
      </iconSet>
    </cfRule>
  </conditionalFormatting>
  <conditionalFormatting sqref="K7">
    <cfRule type="iconSet" priority="272">
      <iconSet iconSet="3Symbols2">
        <cfvo type="percent" val="0"/>
        <cfvo type="percent" val="$AA$15"/>
        <cfvo type="percent" val="$AA$13"/>
      </iconSet>
    </cfRule>
  </conditionalFormatting>
  <conditionalFormatting sqref="J7">
    <cfRule type="iconSet" priority="271">
      <iconSet iconSet="3Symbols2">
        <cfvo type="percent" val="0"/>
        <cfvo type="percent" val="$AA$15"/>
        <cfvo type="percent" val="$AA$13"/>
      </iconSet>
    </cfRule>
  </conditionalFormatting>
  <conditionalFormatting sqref="L7">
    <cfRule type="iconSet" priority="269">
      <iconSet iconSet="3Symbols2">
        <cfvo type="percent" val="0"/>
        <cfvo type="percent" val="33"/>
        <cfvo type="percent" val="$I$15"/>
      </iconSet>
    </cfRule>
    <cfRule type="iconSet" priority="270">
      <iconSet iconSet="3Symbols2">
        <cfvo type="percent" val="0"/>
        <cfvo type="percent" val="33"/>
        <cfvo type="percent" val="67"/>
      </iconSet>
    </cfRule>
  </conditionalFormatting>
  <conditionalFormatting sqref="L7:M7">
    <cfRule type="iconSet" priority="268">
      <iconSet iconSet="3Symbols2">
        <cfvo type="percent" val="0"/>
        <cfvo type="percent" val="$AA$15"/>
        <cfvo type="percent" val="$AA$13"/>
      </iconSet>
    </cfRule>
  </conditionalFormatting>
  <conditionalFormatting sqref="M7">
    <cfRule type="iconSet" priority="267">
      <iconSet iconSet="3Symbols2">
        <cfvo type="percent" val="0"/>
        <cfvo type="percent" val="$AA$15"/>
        <cfvo type="percent" val="$AA$13"/>
      </iconSet>
    </cfRule>
  </conditionalFormatting>
  <conditionalFormatting sqref="L7">
    <cfRule type="iconSet" priority="266">
      <iconSet iconSet="3Symbols2">
        <cfvo type="percent" val="0"/>
        <cfvo type="percent" val="$AA$15"/>
        <cfvo type="percent" val="$AA$13"/>
      </iconSet>
    </cfRule>
  </conditionalFormatting>
  <conditionalFormatting sqref="N7">
    <cfRule type="iconSet" priority="264">
      <iconSet iconSet="3Symbols2">
        <cfvo type="percent" val="0"/>
        <cfvo type="percent" val="33"/>
        <cfvo type="percent" val="$I$15"/>
      </iconSet>
    </cfRule>
    <cfRule type="iconSet" priority="265">
      <iconSet iconSet="3Symbols2">
        <cfvo type="percent" val="0"/>
        <cfvo type="percent" val="33"/>
        <cfvo type="percent" val="67"/>
      </iconSet>
    </cfRule>
  </conditionalFormatting>
  <conditionalFormatting sqref="N7:O7">
    <cfRule type="iconSet" priority="263">
      <iconSet iconSet="3Symbols2">
        <cfvo type="percent" val="0"/>
        <cfvo type="percent" val="$AA$15"/>
        <cfvo type="percent" val="$AA$13"/>
      </iconSet>
    </cfRule>
  </conditionalFormatting>
  <conditionalFormatting sqref="O7">
    <cfRule type="iconSet" priority="262">
      <iconSet iconSet="3Symbols2">
        <cfvo type="percent" val="0"/>
        <cfvo type="percent" val="$AA$15"/>
        <cfvo type="percent" val="$AA$13"/>
      </iconSet>
    </cfRule>
  </conditionalFormatting>
  <conditionalFormatting sqref="N7">
    <cfRule type="iconSet" priority="261">
      <iconSet iconSet="3Symbols2">
        <cfvo type="percent" val="0"/>
        <cfvo type="percent" val="$AA$15"/>
        <cfvo type="percent" val="$AA$13"/>
      </iconSet>
    </cfRule>
  </conditionalFormatting>
  <conditionalFormatting sqref="P7">
    <cfRule type="iconSet" priority="259">
      <iconSet iconSet="3Symbols2">
        <cfvo type="percent" val="0"/>
        <cfvo type="percent" val="33"/>
        <cfvo type="percent" val="$I$15"/>
      </iconSet>
    </cfRule>
    <cfRule type="iconSet" priority="260">
      <iconSet iconSet="3Symbols2">
        <cfvo type="percent" val="0"/>
        <cfvo type="percent" val="33"/>
        <cfvo type="percent" val="67"/>
      </iconSet>
    </cfRule>
  </conditionalFormatting>
  <conditionalFormatting sqref="P7:Q7">
    <cfRule type="iconSet" priority="258">
      <iconSet iconSet="3Symbols2">
        <cfvo type="percent" val="0"/>
        <cfvo type="percent" val="$AA$15"/>
        <cfvo type="percent" val="$AA$13"/>
      </iconSet>
    </cfRule>
  </conditionalFormatting>
  <conditionalFormatting sqref="Q7">
    <cfRule type="iconSet" priority="257">
      <iconSet iconSet="3Symbols2">
        <cfvo type="percent" val="0"/>
        <cfvo type="percent" val="$AA$15"/>
        <cfvo type="percent" val="$AA$13"/>
      </iconSet>
    </cfRule>
  </conditionalFormatting>
  <conditionalFormatting sqref="P7">
    <cfRule type="iconSet" priority="256">
      <iconSet iconSet="3Symbols2">
        <cfvo type="percent" val="0"/>
        <cfvo type="percent" val="$AA$15"/>
        <cfvo type="percent" val="$AA$13"/>
      </iconSet>
    </cfRule>
  </conditionalFormatting>
  <conditionalFormatting sqref="R7">
    <cfRule type="iconSet" priority="254">
      <iconSet iconSet="3Symbols2">
        <cfvo type="percent" val="0"/>
        <cfvo type="percent" val="33"/>
        <cfvo type="percent" val="$I$15"/>
      </iconSet>
    </cfRule>
    <cfRule type="iconSet" priority="255">
      <iconSet iconSet="3Symbols2">
        <cfvo type="percent" val="0"/>
        <cfvo type="percent" val="33"/>
        <cfvo type="percent" val="67"/>
      </iconSet>
    </cfRule>
  </conditionalFormatting>
  <conditionalFormatting sqref="R7:S7">
    <cfRule type="iconSet" priority="253">
      <iconSet iconSet="3Symbols2">
        <cfvo type="percent" val="0"/>
        <cfvo type="percent" val="$AA$15"/>
        <cfvo type="percent" val="$AA$13"/>
      </iconSet>
    </cfRule>
  </conditionalFormatting>
  <conditionalFormatting sqref="S7">
    <cfRule type="iconSet" priority="252">
      <iconSet iconSet="3Symbols2">
        <cfvo type="percent" val="0"/>
        <cfvo type="percent" val="$AA$15"/>
        <cfvo type="percent" val="$AA$13"/>
      </iconSet>
    </cfRule>
  </conditionalFormatting>
  <conditionalFormatting sqref="R7">
    <cfRule type="iconSet" priority="251">
      <iconSet iconSet="3Symbols2">
        <cfvo type="percent" val="0"/>
        <cfvo type="percent" val="$AA$15"/>
        <cfvo type="percent" val="$AA$13"/>
      </iconSet>
    </cfRule>
  </conditionalFormatting>
  <conditionalFormatting sqref="T7">
    <cfRule type="iconSet" priority="249">
      <iconSet iconSet="3Symbols2">
        <cfvo type="percent" val="0"/>
        <cfvo type="percent" val="33"/>
        <cfvo type="percent" val="$I$15"/>
      </iconSet>
    </cfRule>
    <cfRule type="iconSet" priority="250">
      <iconSet iconSet="3Symbols2">
        <cfvo type="percent" val="0"/>
        <cfvo type="percent" val="33"/>
        <cfvo type="percent" val="67"/>
      </iconSet>
    </cfRule>
  </conditionalFormatting>
  <conditionalFormatting sqref="T7:U7">
    <cfRule type="iconSet" priority="248">
      <iconSet iconSet="3Symbols2">
        <cfvo type="percent" val="0"/>
        <cfvo type="percent" val="$AA$15"/>
        <cfvo type="percent" val="$AA$13"/>
      </iconSet>
    </cfRule>
  </conditionalFormatting>
  <conditionalFormatting sqref="U7">
    <cfRule type="iconSet" priority="247">
      <iconSet iconSet="3Symbols2">
        <cfvo type="percent" val="0"/>
        <cfvo type="percent" val="$AA$15"/>
        <cfvo type="percent" val="$AA$13"/>
      </iconSet>
    </cfRule>
  </conditionalFormatting>
  <conditionalFormatting sqref="T7">
    <cfRule type="iconSet" priority="246">
      <iconSet iconSet="3Symbols2">
        <cfvo type="percent" val="0"/>
        <cfvo type="percent" val="$AA$15"/>
        <cfvo type="percent" val="$AA$13"/>
      </iconSet>
    </cfRule>
  </conditionalFormatting>
  <conditionalFormatting sqref="H6">
    <cfRule type="iconSet" priority="210">
      <iconSet iconSet="3Symbols2">
        <cfvo type="percent" val="0"/>
        <cfvo type="percent" val="33"/>
        <cfvo type="percent" val="$I$15"/>
      </iconSet>
    </cfRule>
    <cfRule type="iconSet" priority="211">
      <iconSet iconSet="3Symbols2">
        <cfvo type="percent" val="0"/>
        <cfvo type="percent" val="33"/>
        <cfvo type="percent" val="67"/>
      </iconSet>
    </cfRule>
  </conditionalFormatting>
  <conditionalFormatting sqref="H6:I6">
    <cfRule type="iconSet" priority="209">
      <iconSet iconSet="3Symbols2">
        <cfvo type="percent" val="0"/>
        <cfvo type="percent" val="$AA$15"/>
        <cfvo type="percent" val="$AA$13"/>
      </iconSet>
    </cfRule>
  </conditionalFormatting>
  <conditionalFormatting sqref="I6">
    <cfRule type="iconSet" priority="208">
      <iconSet iconSet="3Symbols2">
        <cfvo type="percent" val="0"/>
        <cfvo type="percent" val="$AA$15"/>
        <cfvo type="percent" val="$AA$13"/>
      </iconSet>
    </cfRule>
  </conditionalFormatting>
  <conditionalFormatting sqref="H6">
    <cfRule type="iconSet" priority="207">
      <iconSet iconSet="3Symbols2">
        <cfvo type="percent" val="0"/>
        <cfvo type="percent" val="$AA$15"/>
        <cfvo type="percent" val="$AA$13"/>
      </iconSet>
    </cfRule>
  </conditionalFormatting>
  <conditionalFormatting sqref="J6">
    <cfRule type="iconSet" priority="205">
      <iconSet iconSet="3Symbols2">
        <cfvo type="percent" val="0"/>
        <cfvo type="percent" val="33"/>
        <cfvo type="percent" val="$I$15"/>
      </iconSet>
    </cfRule>
    <cfRule type="iconSet" priority="206">
      <iconSet iconSet="3Symbols2">
        <cfvo type="percent" val="0"/>
        <cfvo type="percent" val="33"/>
        <cfvo type="percent" val="67"/>
      </iconSet>
    </cfRule>
  </conditionalFormatting>
  <conditionalFormatting sqref="J6:K6">
    <cfRule type="iconSet" priority="204">
      <iconSet iconSet="3Symbols2">
        <cfvo type="percent" val="0"/>
        <cfvo type="percent" val="$AA$15"/>
        <cfvo type="percent" val="$AA$13"/>
      </iconSet>
    </cfRule>
  </conditionalFormatting>
  <conditionalFormatting sqref="K6">
    <cfRule type="iconSet" priority="203">
      <iconSet iconSet="3Symbols2">
        <cfvo type="percent" val="0"/>
        <cfvo type="percent" val="$AA$15"/>
        <cfvo type="percent" val="$AA$13"/>
      </iconSet>
    </cfRule>
  </conditionalFormatting>
  <conditionalFormatting sqref="J6">
    <cfRule type="iconSet" priority="202">
      <iconSet iconSet="3Symbols2">
        <cfvo type="percent" val="0"/>
        <cfvo type="percent" val="$AA$15"/>
        <cfvo type="percent" val="$AA$13"/>
      </iconSet>
    </cfRule>
  </conditionalFormatting>
  <conditionalFormatting sqref="L6">
    <cfRule type="iconSet" priority="200">
      <iconSet iconSet="3Symbols2">
        <cfvo type="percent" val="0"/>
        <cfvo type="percent" val="33"/>
        <cfvo type="percent" val="$I$15"/>
      </iconSet>
    </cfRule>
    <cfRule type="iconSet" priority="201">
      <iconSet iconSet="3Symbols2">
        <cfvo type="percent" val="0"/>
        <cfvo type="percent" val="33"/>
        <cfvo type="percent" val="67"/>
      </iconSet>
    </cfRule>
  </conditionalFormatting>
  <conditionalFormatting sqref="L6:M6">
    <cfRule type="iconSet" priority="199">
      <iconSet iconSet="3Symbols2">
        <cfvo type="percent" val="0"/>
        <cfvo type="percent" val="$AA$15"/>
        <cfvo type="percent" val="$AA$13"/>
      </iconSet>
    </cfRule>
  </conditionalFormatting>
  <conditionalFormatting sqref="M6">
    <cfRule type="iconSet" priority="198">
      <iconSet iconSet="3Symbols2">
        <cfvo type="percent" val="0"/>
        <cfvo type="percent" val="$AA$15"/>
        <cfvo type="percent" val="$AA$13"/>
      </iconSet>
    </cfRule>
  </conditionalFormatting>
  <conditionalFormatting sqref="L6">
    <cfRule type="iconSet" priority="197">
      <iconSet iconSet="3Symbols2">
        <cfvo type="percent" val="0"/>
        <cfvo type="percent" val="$AA$15"/>
        <cfvo type="percent" val="$AA$13"/>
      </iconSet>
    </cfRule>
  </conditionalFormatting>
  <conditionalFormatting sqref="N6">
    <cfRule type="iconSet" priority="195">
      <iconSet iconSet="3Symbols2">
        <cfvo type="percent" val="0"/>
        <cfvo type="percent" val="33"/>
        <cfvo type="percent" val="$I$15"/>
      </iconSet>
    </cfRule>
    <cfRule type="iconSet" priority="196">
      <iconSet iconSet="3Symbols2">
        <cfvo type="percent" val="0"/>
        <cfvo type="percent" val="33"/>
        <cfvo type="percent" val="67"/>
      </iconSet>
    </cfRule>
  </conditionalFormatting>
  <conditionalFormatting sqref="N6:O6">
    <cfRule type="iconSet" priority="194">
      <iconSet iconSet="3Symbols2">
        <cfvo type="percent" val="0"/>
        <cfvo type="percent" val="$AA$15"/>
        <cfvo type="percent" val="$AA$13"/>
      </iconSet>
    </cfRule>
  </conditionalFormatting>
  <conditionalFormatting sqref="O6">
    <cfRule type="iconSet" priority="193">
      <iconSet iconSet="3Symbols2">
        <cfvo type="percent" val="0"/>
        <cfvo type="percent" val="$AA$15"/>
        <cfvo type="percent" val="$AA$13"/>
      </iconSet>
    </cfRule>
  </conditionalFormatting>
  <conditionalFormatting sqref="N6">
    <cfRule type="iconSet" priority="192">
      <iconSet iconSet="3Symbols2">
        <cfvo type="percent" val="0"/>
        <cfvo type="percent" val="$AA$15"/>
        <cfvo type="percent" val="$AA$13"/>
      </iconSet>
    </cfRule>
  </conditionalFormatting>
  <conditionalFormatting sqref="P6">
    <cfRule type="iconSet" priority="190">
      <iconSet iconSet="3Symbols2">
        <cfvo type="percent" val="0"/>
        <cfvo type="percent" val="33"/>
        <cfvo type="percent" val="$I$15"/>
      </iconSet>
    </cfRule>
    <cfRule type="iconSet" priority="191">
      <iconSet iconSet="3Symbols2">
        <cfvo type="percent" val="0"/>
        <cfvo type="percent" val="33"/>
        <cfvo type="percent" val="67"/>
      </iconSet>
    </cfRule>
  </conditionalFormatting>
  <conditionalFormatting sqref="P6:Q6">
    <cfRule type="iconSet" priority="189">
      <iconSet iconSet="3Symbols2">
        <cfvo type="percent" val="0"/>
        <cfvo type="percent" val="$AA$15"/>
        <cfvo type="percent" val="$AA$13"/>
      </iconSet>
    </cfRule>
  </conditionalFormatting>
  <conditionalFormatting sqref="Q6">
    <cfRule type="iconSet" priority="188">
      <iconSet iconSet="3Symbols2">
        <cfvo type="percent" val="0"/>
        <cfvo type="percent" val="$AA$15"/>
        <cfvo type="percent" val="$AA$13"/>
      </iconSet>
    </cfRule>
  </conditionalFormatting>
  <conditionalFormatting sqref="P6">
    <cfRule type="iconSet" priority="187">
      <iconSet iconSet="3Symbols2">
        <cfvo type="percent" val="0"/>
        <cfvo type="percent" val="$AA$15"/>
        <cfvo type="percent" val="$AA$13"/>
      </iconSet>
    </cfRule>
  </conditionalFormatting>
  <conditionalFormatting sqref="R6">
    <cfRule type="iconSet" priority="185">
      <iconSet iconSet="3Symbols2">
        <cfvo type="percent" val="0"/>
        <cfvo type="percent" val="33"/>
        <cfvo type="percent" val="$I$15"/>
      </iconSet>
    </cfRule>
    <cfRule type="iconSet" priority="186">
      <iconSet iconSet="3Symbols2">
        <cfvo type="percent" val="0"/>
        <cfvo type="percent" val="33"/>
        <cfvo type="percent" val="67"/>
      </iconSet>
    </cfRule>
  </conditionalFormatting>
  <conditionalFormatting sqref="R6:S6">
    <cfRule type="iconSet" priority="184">
      <iconSet iconSet="3Symbols2">
        <cfvo type="percent" val="0"/>
        <cfvo type="percent" val="$AA$15"/>
        <cfvo type="percent" val="$AA$13"/>
      </iconSet>
    </cfRule>
  </conditionalFormatting>
  <conditionalFormatting sqref="S6">
    <cfRule type="iconSet" priority="183">
      <iconSet iconSet="3Symbols2">
        <cfvo type="percent" val="0"/>
        <cfvo type="percent" val="$AA$15"/>
        <cfvo type="percent" val="$AA$13"/>
      </iconSet>
    </cfRule>
  </conditionalFormatting>
  <conditionalFormatting sqref="R6">
    <cfRule type="iconSet" priority="182">
      <iconSet iconSet="3Symbols2">
        <cfvo type="percent" val="0"/>
        <cfvo type="percent" val="$AA$15"/>
        <cfvo type="percent" val="$AA$13"/>
      </iconSet>
    </cfRule>
  </conditionalFormatting>
  <conditionalFormatting sqref="T6">
    <cfRule type="iconSet" priority="180">
      <iconSet iconSet="3Symbols2">
        <cfvo type="percent" val="0"/>
        <cfvo type="percent" val="33"/>
        <cfvo type="percent" val="$I$15"/>
      </iconSet>
    </cfRule>
    <cfRule type="iconSet" priority="181">
      <iconSet iconSet="3Symbols2">
        <cfvo type="percent" val="0"/>
        <cfvo type="percent" val="33"/>
        <cfvo type="percent" val="67"/>
      </iconSet>
    </cfRule>
  </conditionalFormatting>
  <conditionalFormatting sqref="T6:U6">
    <cfRule type="iconSet" priority="179">
      <iconSet iconSet="3Symbols2">
        <cfvo type="percent" val="0"/>
        <cfvo type="percent" val="$AA$15"/>
        <cfvo type="percent" val="$AA$13"/>
      </iconSet>
    </cfRule>
  </conditionalFormatting>
  <conditionalFormatting sqref="U6">
    <cfRule type="iconSet" priority="178">
      <iconSet iconSet="3Symbols2">
        <cfvo type="percent" val="0"/>
        <cfvo type="percent" val="$AA$15"/>
        <cfvo type="percent" val="$AA$13"/>
      </iconSet>
    </cfRule>
  </conditionalFormatting>
  <conditionalFormatting sqref="T6">
    <cfRule type="iconSet" priority="177">
      <iconSet iconSet="3Symbols2">
        <cfvo type="percent" val="0"/>
        <cfvo type="percent" val="$AA$15"/>
        <cfvo type="percent" val="$AA$13"/>
      </iconSet>
    </cfRule>
  </conditionalFormatting>
  <conditionalFormatting sqref="H15:H20">
    <cfRule type="iconSet" priority="3212">
      <iconSet iconSet="3Symbols2">
        <cfvo type="percent" val="0"/>
        <cfvo type="percent" val="33"/>
        <cfvo type="percent" val="$I$15"/>
      </iconSet>
    </cfRule>
    <cfRule type="iconSet" priority="3213">
      <iconSet iconSet="3Symbols2">
        <cfvo type="percent" val="0"/>
        <cfvo type="percent" val="33"/>
        <cfvo type="percent" val="67"/>
      </iconSet>
    </cfRule>
  </conditionalFormatting>
  <conditionalFormatting sqref="H15:I20">
    <cfRule type="iconSet" priority="3216">
      <iconSet iconSet="3Symbols2">
        <cfvo type="percent" val="0"/>
        <cfvo type="percent" val="$AA$15"/>
        <cfvo type="percent" val="$AA$13"/>
      </iconSet>
    </cfRule>
  </conditionalFormatting>
  <conditionalFormatting sqref="J15:J20">
    <cfRule type="iconSet" priority="3218">
      <iconSet iconSet="3Symbols2">
        <cfvo type="percent" val="0"/>
        <cfvo type="percent" val="33"/>
        <cfvo type="percent" val="$I$15"/>
      </iconSet>
    </cfRule>
    <cfRule type="iconSet" priority="3219">
      <iconSet iconSet="3Symbols2">
        <cfvo type="percent" val="0"/>
        <cfvo type="percent" val="33"/>
        <cfvo type="percent" val="67"/>
      </iconSet>
    </cfRule>
  </conditionalFormatting>
  <conditionalFormatting sqref="J15:K20">
    <cfRule type="iconSet" priority="3222">
      <iconSet iconSet="3Symbols2">
        <cfvo type="percent" val="0"/>
        <cfvo type="percent" val="$AA$15"/>
        <cfvo type="percent" val="$AA$13"/>
      </iconSet>
    </cfRule>
  </conditionalFormatting>
  <conditionalFormatting sqref="L15:L20">
    <cfRule type="iconSet" priority="3224">
      <iconSet iconSet="3Symbols2">
        <cfvo type="percent" val="0"/>
        <cfvo type="percent" val="33"/>
        <cfvo type="percent" val="$I$15"/>
      </iconSet>
    </cfRule>
    <cfRule type="iconSet" priority="3225">
      <iconSet iconSet="3Symbols2">
        <cfvo type="percent" val="0"/>
        <cfvo type="percent" val="33"/>
        <cfvo type="percent" val="67"/>
      </iconSet>
    </cfRule>
  </conditionalFormatting>
  <conditionalFormatting sqref="L15:M20">
    <cfRule type="iconSet" priority="3228">
      <iconSet iconSet="3Symbols2">
        <cfvo type="percent" val="0"/>
        <cfvo type="percent" val="$AA$15"/>
        <cfvo type="percent" val="$AA$13"/>
      </iconSet>
    </cfRule>
  </conditionalFormatting>
  <conditionalFormatting sqref="N15:N20">
    <cfRule type="iconSet" priority="3230">
      <iconSet iconSet="3Symbols2">
        <cfvo type="percent" val="0"/>
        <cfvo type="percent" val="33"/>
        <cfvo type="percent" val="$I$15"/>
      </iconSet>
    </cfRule>
    <cfRule type="iconSet" priority="3231">
      <iconSet iconSet="3Symbols2">
        <cfvo type="percent" val="0"/>
        <cfvo type="percent" val="33"/>
        <cfvo type="percent" val="67"/>
      </iconSet>
    </cfRule>
  </conditionalFormatting>
  <conditionalFormatting sqref="N15:O20">
    <cfRule type="iconSet" priority="3234">
      <iconSet iconSet="3Symbols2">
        <cfvo type="percent" val="0"/>
        <cfvo type="percent" val="$AA$15"/>
        <cfvo type="percent" val="$AA$13"/>
      </iconSet>
    </cfRule>
  </conditionalFormatting>
  <conditionalFormatting sqref="P15:P20">
    <cfRule type="iconSet" priority="3236">
      <iconSet iconSet="3Symbols2">
        <cfvo type="percent" val="0"/>
        <cfvo type="percent" val="33"/>
        <cfvo type="percent" val="$I$15"/>
      </iconSet>
    </cfRule>
    <cfRule type="iconSet" priority="3237">
      <iconSet iconSet="3Symbols2">
        <cfvo type="percent" val="0"/>
        <cfvo type="percent" val="33"/>
        <cfvo type="percent" val="67"/>
      </iconSet>
    </cfRule>
  </conditionalFormatting>
  <conditionalFormatting sqref="P15:Q20">
    <cfRule type="iconSet" priority="3240">
      <iconSet iconSet="3Symbols2">
        <cfvo type="percent" val="0"/>
        <cfvo type="percent" val="$AA$15"/>
        <cfvo type="percent" val="$AA$13"/>
      </iconSet>
    </cfRule>
  </conditionalFormatting>
  <conditionalFormatting sqref="R15:R20">
    <cfRule type="iconSet" priority="3242">
      <iconSet iconSet="3Symbols2">
        <cfvo type="percent" val="0"/>
        <cfvo type="percent" val="33"/>
        <cfvo type="percent" val="$I$15"/>
      </iconSet>
    </cfRule>
    <cfRule type="iconSet" priority="3243">
      <iconSet iconSet="3Symbols2">
        <cfvo type="percent" val="0"/>
        <cfvo type="percent" val="33"/>
        <cfvo type="percent" val="67"/>
      </iconSet>
    </cfRule>
  </conditionalFormatting>
  <conditionalFormatting sqref="R15:S20">
    <cfRule type="iconSet" priority="3246">
      <iconSet iconSet="3Symbols2">
        <cfvo type="percent" val="0"/>
        <cfvo type="percent" val="$AA$15"/>
        <cfvo type="percent" val="$AA$13"/>
      </iconSet>
    </cfRule>
  </conditionalFormatting>
  <conditionalFormatting sqref="T15:T20">
    <cfRule type="iconSet" priority="3248">
      <iconSet iconSet="3Symbols2">
        <cfvo type="percent" val="0"/>
        <cfvo type="percent" val="33"/>
        <cfvo type="percent" val="$I$15"/>
      </iconSet>
    </cfRule>
    <cfRule type="iconSet" priority="3249">
      <iconSet iconSet="3Symbols2">
        <cfvo type="percent" val="0"/>
        <cfvo type="percent" val="33"/>
        <cfvo type="percent" val="67"/>
      </iconSet>
    </cfRule>
  </conditionalFormatting>
  <conditionalFormatting sqref="T15:U20">
    <cfRule type="iconSet" priority="3252">
      <iconSet iconSet="3Symbols2">
        <cfvo type="percent" val="0"/>
        <cfvo type="percent" val="$AA$15"/>
        <cfvo type="percent" val="$AA$13"/>
      </iconSet>
    </cfRule>
  </conditionalFormatting>
  <conditionalFormatting sqref="I15:I20">
    <cfRule type="iconSet" priority="3254">
      <iconSet iconSet="3Symbols2">
        <cfvo type="percent" val="0"/>
        <cfvo type="percent" val="$AA$15"/>
        <cfvo type="percent" val="$AA$13"/>
      </iconSet>
    </cfRule>
  </conditionalFormatting>
  <conditionalFormatting sqref="H15:H20">
    <cfRule type="iconSet" priority="3256">
      <iconSet iconSet="3Symbols2">
        <cfvo type="percent" val="0"/>
        <cfvo type="percent" val="$AA$15"/>
        <cfvo type="percent" val="$AA$13"/>
      </iconSet>
    </cfRule>
  </conditionalFormatting>
  <conditionalFormatting sqref="K15:K20">
    <cfRule type="iconSet" priority="3258">
      <iconSet iconSet="3Symbols2">
        <cfvo type="percent" val="0"/>
        <cfvo type="percent" val="$AA$15"/>
        <cfvo type="percent" val="$AA$13"/>
      </iconSet>
    </cfRule>
  </conditionalFormatting>
  <conditionalFormatting sqref="J15:J20">
    <cfRule type="iconSet" priority="3260">
      <iconSet iconSet="3Symbols2">
        <cfvo type="percent" val="0"/>
        <cfvo type="percent" val="$AA$15"/>
        <cfvo type="percent" val="$AA$13"/>
      </iconSet>
    </cfRule>
  </conditionalFormatting>
  <conditionalFormatting sqref="M15:M20">
    <cfRule type="iconSet" priority="3262">
      <iconSet iconSet="3Symbols2">
        <cfvo type="percent" val="0"/>
        <cfvo type="percent" val="$AA$15"/>
        <cfvo type="percent" val="$AA$13"/>
      </iconSet>
    </cfRule>
  </conditionalFormatting>
  <conditionalFormatting sqref="L15:L20">
    <cfRule type="iconSet" priority="3264">
      <iconSet iconSet="3Symbols2">
        <cfvo type="percent" val="0"/>
        <cfvo type="percent" val="$AA$15"/>
        <cfvo type="percent" val="$AA$13"/>
      </iconSet>
    </cfRule>
  </conditionalFormatting>
  <conditionalFormatting sqref="O15:O20">
    <cfRule type="iconSet" priority="3266">
      <iconSet iconSet="3Symbols2">
        <cfvo type="percent" val="0"/>
        <cfvo type="percent" val="$AA$15"/>
        <cfvo type="percent" val="$AA$13"/>
      </iconSet>
    </cfRule>
  </conditionalFormatting>
  <conditionalFormatting sqref="N15:N20">
    <cfRule type="iconSet" priority="3268">
      <iconSet iconSet="3Symbols2">
        <cfvo type="percent" val="0"/>
        <cfvo type="percent" val="$AA$15"/>
        <cfvo type="percent" val="$AA$13"/>
      </iconSet>
    </cfRule>
  </conditionalFormatting>
  <conditionalFormatting sqref="Q15:Q20">
    <cfRule type="iconSet" priority="3270">
      <iconSet iconSet="3Symbols2">
        <cfvo type="percent" val="0"/>
        <cfvo type="percent" val="$AA$15"/>
        <cfvo type="percent" val="$AA$13"/>
      </iconSet>
    </cfRule>
  </conditionalFormatting>
  <conditionalFormatting sqref="P15:P20">
    <cfRule type="iconSet" priority="3272">
      <iconSet iconSet="3Symbols2">
        <cfvo type="percent" val="0"/>
        <cfvo type="percent" val="$AA$15"/>
        <cfvo type="percent" val="$AA$13"/>
      </iconSet>
    </cfRule>
  </conditionalFormatting>
  <conditionalFormatting sqref="S15:S20">
    <cfRule type="iconSet" priority="3274">
      <iconSet iconSet="3Symbols2">
        <cfvo type="percent" val="0"/>
        <cfvo type="percent" val="$AA$15"/>
        <cfvo type="percent" val="$AA$13"/>
      </iconSet>
    </cfRule>
  </conditionalFormatting>
  <conditionalFormatting sqref="R15:R20">
    <cfRule type="iconSet" priority="3276">
      <iconSet iconSet="3Symbols2">
        <cfvo type="percent" val="0"/>
        <cfvo type="percent" val="$AA$15"/>
        <cfvo type="percent" val="$AA$13"/>
      </iconSet>
    </cfRule>
  </conditionalFormatting>
  <conditionalFormatting sqref="U15:U20">
    <cfRule type="iconSet" priority="3278">
      <iconSet iconSet="3Symbols2">
        <cfvo type="percent" val="0"/>
        <cfvo type="percent" val="$AA$15"/>
        <cfvo type="percent" val="$AA$13"/>
      </iconSet>
    </cfRule>
  </conditionalFormatting>
  <conditionalFormatting sqref="T15:T20">
    <cfRule type="iconSet" priority="3280">
      <iconSet iconSet="3Symbols2">
        <cfvo type="percent" val="0"/>
        <cfvo type="percent" val="$AA$15"/>
        <cfvo type="percent" val="$AA$13"/>
      </iconSet>
    </cfRule>
  </conditionalFormatting>
  <conditionalFormatting sqref="H5">
    <cfRule type="iconSet" priority="3428">
      <iconSet iconSet="3Symbols2">
        <cfvo type="percent" val="0"/>
        <cfvo type="percent" val="33"/>
        <cfvo type="percent" val="$I$15"/>
      </iconSet>
    </cfRule>
    <cfRule type="iconSet" priority="3429">
      <iconSet iconSet="3Symbols2">
        <cfvo type="percent" val="0"/>
        <cfvo type="percent" val="33"/>
        <cfvo type="percent" val="67"/>
      </iconSet>
    </cfRule>
  </conditionalFormatting>
  <conditionalFormatting sqref="H5:I5">
    <cfRule type="iconSet" priority="3430">
      <iconSet iconSet="3Symbols2">
        <cfvo type="percent" val="0"/>
        <cfvo type="percent" val="$AA$15"/>
        <cfvo type="percent" val="$AA$13"/>
      </iconSet>
    </cfRule>
  </conditionalFormatting>
  <conditionalFormatting sqref="I5">
    <cfRule type="iconSet" priority="3431">
      <iconSet iconSet="3Symbols2">
        <cfvo type="percent" val="0"/>
        <cfvo type="percent" val="$AA$15"/>
        <cfvo type="percent" val="$AA$13"/>
      </iconSet>
    </cfRule>
  </conditionalFormatting>
  <conditionalFormatting sqref="H5">
    <cfRule type="iconSet" priority="3432">
      <iconSet iconSet="3Symbols2">
        <cfvo type="percent" val="0"/>
        <cfvo type="percent" val="$AA$15"/>
        <cfvo type="percent" val="$AA$13"/>
      </iconSet>
    </cfRule>
  </conditionalFormatting>
  <conditionalFormatting sqref="J5">
    <cfRule type="iconSet" priority="3433">
      <iconSet iconSet="3Symbols2">
        <cfvo type="percent" val="0"/>
        <cfvo type="percent" val="33"/>
        <cfvo type="percent" val="$I$15"/>
      </iconSet>
    </cfRule>
    <cfRule type="iconSet" priority="3434">
      <iconSet iconSet="3Symbols2">
        <cfvo type="percent" val="0"/>
        <cfvo type="percent" val="33"/>
        <cfvo type="percent" val="67"/>
      </iconSet>
    </cfRule>
  </conditionalFormatting>
  <conditionalFormatting sqref="J5:K5">
    <cfRule type="iconSet" priority="3435">
      <iconSet iconSet="3Symbols2">
        <cfvo type="percent" val="0"/>
        <cfvo type="percent" val="$AA$15"/>
        <cfvo type="percent" val="$AA$13"/>
      </iconSet>
    </cfRule>
  </conditionalFormatting>
  <conditionalFormatting sqref="K5">
    <cfRule type="iconSet" priority="3436">
      <iconSet iconSet="3Symbols2">
        <cfvo type="percent" val="0"/>
        <cfvo type="percent" val="$AA$15"/>
        <cfvo type="percent" val="$AA$13"/>
      </iconSet>
    </cfRule>
  </conditionalFormatting>
  <conditionalFormatting sqref="J5">
    <cfRule type="iconSet" priority="3437">
      <iconSet iconSet="3Symbols2">
        <cfvo type="percent" val="0"/>
        <cfvo type="percent" val="$AA$15"/>
        <cfvo type="percent" val="$AA$13"/>
      </iconSet>
    </cfRule>
  </conditionalFormatting>
  <conditionalFormatting sqref="L5">
    <cfRule type="iconSet" priority="3438">
      <iconSet iconSet="3Symbols2">
        <cfvo type="percent" val="0"/>
        <cfvo type="percent" val="33"/>
        <cfvo type="percent" val="$I$15"/>
      </iconSet>
    </cfRule>
    <cfRule type="iconSet" priority="3439">
      <iconSet iconSet="3Symbols2">
        <cfvo type="percent" val="0"/>
        <cfvo type="percent" val="33"/>
        <cfvo type="percent" val="67"/>
      </iconSet>
    </cfRule>
  </conditionalFormatting>
  <conditionalFormatting sqref="L5:M5">
    <cfRule type="iconSet" priority="3440">
      <iconSet iconSet="3Symbols2">
        <cfvo type="percent" val="0"/>
        <cfvo type="percent" val="$AA$15"/>
        <cfvo type="percent" val="$AA$13"/>
      </iconSet>
    </cfRule>
  </conditionalFormatting>
  <conditionalFormatting sqref="M5">
    <cfRule type="iconSet" priority="3441">
      <iconSet iconSet="3Symbols2">
        <cfvo type="percent" val="0"/>
        <cfvo type="percent" val="$AA$15"/>
        <cfvo type="percent" val="$AA$13"/>
      </iconSet>
    </cfRule>
  </conditionalFormatting>
  <conditionalFormatting sqref="L5">
    <cfRule type="iconSet" priority="3442">
      <iconSet iconSet="3Symbols2">
        <cfvo type="percent" val="0"/>
        <cfvo type="percent" val="$AA$15"/>
        <cfvo type="percent" val="$AA$13"/>
      </iconSet>
    </cfRule>
  </conditionalFormatting>
  <conditionalFormatting sqref="N5">
    <cfRule type="iconSet" priority="3443">
      <iconSet iconSet="3Symbols2">
        <cfvo type="percent" val="0"/>
        <cfvo type="percent" val="33"/>
        <cfvo type="percent" val="$I$15"/>
      </iconSet>
    </cfRule>
    <cfRule type="iconSet" priority="3444">
      <iconSet iconSet="3Symbols2">
        <cfvo type="percent" val="0"/>
        <cfvo type="percent" val="33"/>
        <cfvo type="percent" val="67"/>
      </iconSet>
    </cfRule>
  </conditionalFormatting>
  <conditionalFormatting sqref="N5:O5">
    <cfRule type="iconSet" priority="3445">
      <iconSet iconSet="3Symbols2">
        <cfvo type="percent" val="0"/>
        <cfvo type="percent" val="$AA$15"/>
        <cfvo type="percent" val="$AA$13"/>
      </iconSet>
    </cfRule>
  </conditionalFormatting>
  <conditionalFormatting sqref="O5">
    <cfRule type="iconSet" priority="3446">
      <iconSet iconSet="3Symbols2">
        <cfvo type="percent" val="0"/>
        <cfvo type="percent" val="$AA$15"/>
        <cfvo type="percent" val="$AA$13"/>
      </iconSet>
    </cfRule>
  </conditionalFormatting>
  <conditionalFormatting sqref="N5">
    <cfRule type="iconSet" priority="3447">
      <iconSet iconSet="3Symbols2">
        <cfvo type="percent" val="0"/>
        <cfvo type="percent" val="$AA$15"/>
        <cfvo type="percent" val="$AA$13"/>
      </iconSet>
    </cfRule>
  </conditionalFormatting>
  <conditionalFormatting sqref="P5">
    <cfRule type="iconSet" priority="3448">
      <iconSet iconSet="3Symbols2">
        <cfvo type="percent" val="0"/>
        <cfvo type="percent" val="33"/>
        <cfvo type="percent" val="$I$15"/>
      </iconSet>
    </cfRule>
    <cfRule type="iconSet" priority="3449">
      <iconSet iconSet="3Symbols2">
        <cfvo type="percent" val="0"/>
        <cfvo type="percent" val="33"/>
        <cfvo type="percent" val="67"/>
      </iconSet>
    </cfRule>
  </conditionalFormatting>
  <conditionalFormatting sqref="P5:Q5">
    <cfRule type="iconSet" priority="3450">
      <iconSet iconSet="3Symbols2">
        <cfvo type="percent" val="0"/>
        <cfvo type="percent" val="$AA$15"/>
        <cfvo type="percent" val="$AA$13"/>
      </iconSet>
    </cfRule>
  </conditionalFormatting>
  <conditionalFormatting sqref="Q5">
    <cfRule type="iconSet" priority="3451">
      <iconSet iconSet="3Symbols2">
        <cfvo type="percent" val="0"/>
        <cfvo type="percent" val="$AA$15"/>
        <cfvo type="percent" val="$AA$13"/>
      </iconSet>
    </cfRule>
  </conditionalFormatting>
  <conditionalFormatting sqref="P5">
    <cfRule type="iconSet" priority="3452">
      <iconSet iconSet="3Symbols2">
        <cfvo type="percent" val="0"/>
        <cfvo type="percent" val="$AA$15"/>
        <cfvo type="percent" val="$AA$13"/>
      </iconSet>
    </cfRule>
  </conditionalFormatting>
  <conditionalFormatting sqref="R5">
    <cfRule type="iconSet" priority="3453">
      <iconSet iconSet="3Symbols2">
        <cfvo type="percent" val="0"/>
        <cfvo type="percent" val="33"/>
        <cfvo type="percent" val="$I$15"/>
      </iconSet>
    </cfRule>
    <cfRule type="iconSet" priority="3454">
      <iconSet iconSet="3Symbols2">
        <cfvo type="percent" val="0"/>
        <cfvo type="percent" val="33"/>
        <cfvo type="percent" val="67"/>
      </iconSet>
    </cfRule>
  </conditionalFormatting>
  <conditionalFormatting sqref="R5:S5">
    <cfRule type="iconSet" priority="3455">
      <iconSet iconSet="3Symbols2">
        <cfvo type="percent" val="0"/>
        <cfvo type="percent" val="$AA$15"/>
        <cfvo type="percent" val="$AA$13"/>
      </iconSet>
    </cfRule>
  </conditionalFormatting>
  <conditionalFormatting sqref="S5">
    <cfRule type="iconSet" priority="3456">
      <iconSet iconSet="3Symbols2">
        <cfvo type="percent" val="0"/>
        <cfvo type="percent" val="$AA$15"/>
        <cfvo type="percent" val="$AA$13"/>
      </iconSet>
    </cfRule>
  </conditionalFormatting>
  <conditionalFormatting sqref="R5">
    <cfRule type="iconSet" priority="3457">
      <iconSet iconSet="3Symbols2">
        <cfvo type="percent" val="0"/>
        <cfvo type="percent" val="$AA$15"/>
        <cfvo type="percent" val="$AA$13"/>
      </iconSet>
    </cfRule>
  </conditionalFormatting>
  <conditionalFormatting sqref="T5">
    <cfRule type="iconSet" priority="3458">
      <iconSet iconSet="3Symbols2">
        <cfvo type="percent" val="0"/>
        <cfvo type="percent" val="33"/>
        <cfvo type="percent" val="$I$15"/>
      </iconSet>
    </cfRule>
    <cfRule type="iconSet" priority="3459">
      <iconSet iconSet="3Symbols2">
        <cfvo type="percent" val="0"/>
        <cfvo type="percent" val="33"/>
        <cfvo type="percent" val="67"/>
      </iconSet>
    </cfRule>
  </conditionalFormatting>
  <conditionalFormatting sqref="T5">
    <cfRule type="iconSet" priority="3460">
      <iconSet iconSet="3Symbols2">
        <cfvo type="percent" val="0"/>
        <cfvo type="percent" val="$AA$15"/>
        <cfvo type="percent" val="$AA$13"/>
      </iconSet>
    </cfRule>
  </conditionalFormatting>
  <conditionalFormatting sqref="B5:B20">
    <cfRule type="duplicateValues" dxfId="584" priority="3461"/>
  </conditionalFormatting>
  <dataValidations count="4">
    <dataValidation type="list" allowBlank="1" showInputMessage="1" prompt="Select One ..." sqref="W5:W21" xr:uid="{00000000-0002-0000-0000-000000000000}">
      <formula1>"Car,Bas,Ride,Bus/Ride"</formula1>
    </dataValidation>
    <dataValidation type="list" allowBlank="1" showInputMessage="1" showErrorMessage="1" prompt="Select One ..." sqref="V5:V21" xr:uid="{00000000-0002-0000-0000-000001000000}">
      <formula1>"Yes, No"</formula1>
    </dataValidation>
    <dataValidation type="list" allowBlank="1" showInputMessage="1" showErrorMessage="1" sqref="U5:U21 Q5:Q21 M5:M21 K5:K21 S5:S21 O5:O21 I5:I21" xr:uid="{00000000-0002-0000-0000-000002000000}">
      <formula1>"AM,PM, Both"</formula1>
    </dataValidation>
    <dataValidation type="list" allowBlank="1" showInputMessage="1" showErrorMessage="1" sqref="D1:E3" xr:uid="{3CFBBA93-7F8D-4FC4-8924-4D35F63EFE78}">
      <formula1>Stores</formula1>
    </dataValidation>
  </dataValidations>
  <pageMargins left="0.7" right="0.7" top="1.37" bottom="0.75" header="0.81" footer="0.3"/>
  <pageSetup paperSize="12" fitToHeight="0" orientation="landscape" r:id="rId1"/>
  <drawing r:id="rId2"/>
  <tableParts count="5">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pageSetUpPr fitToPage="1"/>
  </sheetPr>
  <dimension ref="B1:R32"/>
  <sheetViews>
    <sheetView showGridLines="0" zoomScale="90" zoomScaleNormal="90" zoomScaleSheetLayoutView="46" workbookViewId="0" xr3:uid="{958C4451-9541-5A59-BF78-D2F731DF1C81}">
      <pane xSplit="3" ySplit="8" topLeftCell="D9" activePane="bottomRight" state="frozen"/>
      <selection pane="bottomLeft" activeCell="A2" sqref="A2"/>
      <selection pane="topRight" activeCell="C1" sqref="C1"/>
      <selection pane="bottomRight" activeCell="D9" sqref="D9:E9"/>
    </sheetView>
  </sheetViews>
  <sheetFormatPr defaultColWidth="9.953125" defaultRowHeight="15.75" zeroHeight="1" x14ac:dyDescent="0.25"/>
  <cols>
    <col min="1" max="1" width="2.04296875" customWidth="1"/>
    <col min="2" max="2" width="21.6796875" customWidth="1"/>
    <col min="3" max="3" width="12.26953125" style="1" customWidth="1"/>
    <col min="4" max="4" width="5.7265625" customWidth="1"/>
    <col min="5" max="5" width="10.90625" customWidth="1"/>
    <col min="6" max="6" width="5.7265625" customWidth="1"/>
    <col min="7" max="7" width="12.26953125" customWidth="1"/>
    <col min="8" max="8" width="5.7265625" customWidth="1"/>
    <col min="9" max="9" width="12.26953125" customWidth="1"/>
    <col min="10" max="10" width="5.7265625" customWidth="1"/>
    <col min="11" max="11" width="13.2265625" customWidth="1"/>
    <col min="12" max="12" width="5.7265625" customWidth="1"/>
    <col min="13" max="13" width="12.6796875" customWidth="1"/>
    <col min="14" max="14" width="5.7265625" customWidth="1"/>
    <col min="15" max="15" width="12.26953125" customWidth="1"/>
    <col min="16" max="16" width="5.7265625" customWidth="1"/>
    <col min="17" max="17" width="12.26953125" customWidth="1"/>
    <col min="18" max="18" width="2.7265625" customWidth="1"/>
  </cols>
  <sheetData>
    <row r="1" spans="2:17" ht="33" customHeight="1" x14ac:dyDescent="0.25">
      <c r="B1" s="19"/>
      <c r="C1" s="20"/>
      <c r="D1" s="19"/>
      <c r="E1" s="19"/>
      <c r="F1" s="19"/>
      <c r="G1" s="19"/>
      <c r="H1" s="19"/>
      <c r="I1" s="19"/>
      <c r="J1" s="19"/>
      <c r="K1" s="19"/>
      <c r="L1" s="19"/>
      <c r="M1" s="19"/>
      <c r="N1" s="19"/>
      <c r="O1" s="19"/>
      <c r="P1" s="19"/>
      <c r="Q1" s="19"/>
    </row>
    <row r="2" spans="2:17" ht="24.75" customHeight="1" x14ac:dyDescent="0.25">
      <c r="B2" s="21"/>
      <c r="C2" s="21"/>
      <c r="D2" s="294" t="s">
        <v>18</v>
      </c>
      <c r="E2" s="294"/>
      <c r="F2" s="294"/>
      <c r="G2" s="294"/>
      <c r="H2" s="21"/>
      <c r="I2" s="21"/>
      <c r="J2" s="21"/>
      <c r="K2" s="21" t="s">
        <v>17</v>
      </c>
      <c r="L2" s="295">
        <f>IF((D8),D8," ")</f>
        <v>43233</v>
      </c>
      <c r="M2" s="295"/>
      <c r="N2" s="312" t="s">
        <v>16</v>
      </c>
      <c r="O2" s="312"/>
      <c r="P2" s="295">
        <f>P8</f>
        <v>43239</v>
      </c>
      <c r="Q2" s="295"/>
    </row>
    <row r="3" spans="2:17" x14ac:dyDescent="0.25">
      <c r="B3" s="21"/>
      <c r="C3" s="21"/>
      <c r="D3" s="21"/>
      <c r="E3" s="21"/>
      <c r="F3" s="21"/>
      <c r="G3" s="21"/>
      <c r="H3" s="21"/>
      <c r="I3" s="21"/>
      <c r="J3" s="21"/>
      <c r="K3" s="21"/>
      <c r="L3" s="22"/>
      <c r="M3" s="22"/>
      <c r="N3" s="23"/>
      <c r="O3" s="23"/>
      <c r="P3" s="22"/>
      <c r="Q3" s="22"/>
    </row>
    <row r="4" spans="2:17" x14ac:dyDescent="0.25">
      <c r="B4" s="21" t="s">
        <v>13</v>
      </c>
      <c r="C4" s="21">
        <v>60029</v>
      </c>
      <c r="D4" s="294" t="s">
        <v>15</v>
      </c>
      <c r="E4" s="294"/>
      <c r="F4" s="294"/>
      <c r="G4" s="294"/>
      <c r="H4" s="294" t="s">
        <v>14</v>
      </c>
      <c r="I4" s="294"/>
      <c r="J4" s="294"/>
      <c r="K4" s="21"/>
      <c r="L4" s="21"/>
      <c r="M4" s="21"/>
      <c r="N4" s="21"/>
      <c r="O4" s="21"/>
      <c r="P4" s="21"/>
      <c r="Q4" s="21"/>
    </row>
    <row r="5" spans="2:17" x14ac:dyDescent="0.25">
      <c r="B5" s="21" t="s">
        <v>13</v>
      </c>
      <c r="C5" s="21">
        <f>Employeed!D1</f>
        <v>3502</v>
      </c>
      <c r="D5" s="313"/>
      <c r="E5" s="313"/>
      <c r="F5" s="313"/>
      <c r="G5" s="313"/>
      <c r="H5" s="294" t="s">
        <v>12</v>
      </c>
      <c r="I5" s="294"/>
      <c r="J5" s="294"/>
      <c r="K5" s="316" t="s">
        <v>11</v>
      </c>
      <c r="L5" s="316"/>
      <c r="M5" s="24"/>
      <c r="N5" s="21"/>
      <c r="O5" s="21"/>
      <c r="P5" s="21"/>
      <c r="Q5" s="21"/>
    </row>
    <row r="6" spans="2:17" x14ac:dyDescent="0.25">
      <c r="B6" s="21"/>
      <c r="C6" s="21"/>
      <c r="D6" s="25"/>
      <c r="E6" s="25"/>
      <c r="F6" s="25"/>
      <c r="G6" s="25"/>
      <c r="H6" s="21"/>
      <c r="I6" s="21"/>
      <c r="J6" s="21"/>
      <c r="K6" s="26"/>
      <c r="L6" s="26"/>
      <c r="M6" s="26"/>
      <c r="N6" s="21"/>
      <c r="O6" s="21"/>
      <c r="P6" s="21"/>
      <c r="Q6" s="21"/>
    </row>
    <row r="7" spans="2:17" ht="16.5" customHeight="1" x14ac:dyDescent="0.25">
      <c r="B7" s="314" t="s">
        <v>30</v>
      </c>
      <c r="C7" s="314" t="s">
        <v>31</v>
      </c>
      <c r="D7" s="317" t="s">
        <v>10</v>
      </c>
      <c r="E7" s="318"/>
      <c r="F7" s="319" t="s">
        <v>9</v>
      </c>
      <c r="G7" s="320"/>
      <c r="H7" s="321" t="s">
        <v>8</v>
      </c>
      <c r="I7" s="322"/>
      <c r="J7" s="323" t="s">
        <v>7</v>
      </c>
      <c r="K7" s="324"/>
      <c r="L7" s="325" t="s">
        <v>6</v>
      </c>
      <c r="M7" s="326"/>
      <c r="N7" s="327" t="s">
        <v>5</v>
      </c>
      <c r="O7" s="328"/>
      <c r="P7" s="306" t="s">
        <v>4</v>
      </c>
      <c r="Q7" s="307"/>
    </row>
    <row r="8" spans="2:17" s="2" customFormat="1" ht="16.5" customHeight="1" x14ac:dyDescent="0.25">
      <c r="B8" s="315"/>
      <c r="C8" s="315"/>
      <c r="D8" s="296">
        <v>43233</v>
      </c>
      <c r="E8" s="297"/>
      <c r="F8" s="298">
        <f>IF($D$8,$D$8+1," ")</f>
        <v>43234</v>
      </c>
      <c r="G8" s="299"/>
      <c r="H8" s="300">
        <f>IF($D$8,$D$8+2," ")</f>
        <v>43235</v>
      </c>
      <c r="I8" s="301"/>
      <c r="J8" s="302">
        <f>IF($D$8,$D$8+3," ")</f>
        <v>43236</v>
      </c>
      <c r="K8" s="303"/>
      <c r="L8" s="304">
        <f>IF($D$8,$D$8+4," ")</f>
        <v>43237</v>
      </c>
      <c r="M8" s="305"/>
      <c r="N8" s="284">
        <f>IF($D$8,$D$8+5," ")</f>
        <v>43238</v>
      </c>
      <c r="O8" s="285"/>
      <c r="P8" s="286">
        <f>IF($D$8,$D$8+6," ")</f>
        <v>43239</v>
      </c>
      <c r="Q8" s="287"/>
    </row>
    <row r="9" spans="2:17" ht="26.25" customHeight="1" x14ac:dyDescent="0.25">
      <c r="B9" s="4">
        <f>$C$5</f>
        <v>3502</v>
      </c>
      <c r="C9" s="8" t="s">
        <v>0</v>
      </c>
      <c r="D9" s="288"/>
      <c r="E9" s="289"/>
      <c r="F9" s="288" t="s">
        <v>37</v>
      </c>
      <c r="G9" s="289"/>
      <c r="H9" s="288" t="s">
        <v>53</v>
      </c>
      <c r="I9" s="289"/>
      <c r="J9" s="288" t="s">
        <v>53</v>
      </c>
      <c r="K9" s="289"/>
      <c r="L9" s="288" t="s">
        <v>53</v>
      </c>
      <c r="M9" s="289"/>
      <c r="N9" s="288" t="s">
        <v>38</v>
      </c>
      <c r="O9" s="289"/>
      <c r="P9" s="288" t="s">
        <v>38</v>
      </c>
      <c r="Q9" s="289"/>
    </row>
    <row r="10" spans="2:17" ht="26.25" customHeight="1" x14ac:dyDescent="0.25">
      <c r="B10" s="308" t="s">
        <v>3</v>
      </c>
      <c r="C10" s="8" t="s">
        <v>23</v>
      </c>
      <c r="D10" s="288" t="s">
        <v>38</v>
      </c>
      <c r="E10" s="289"/>
      <c r="F10" s="288"/>
      <c r="G10" s="289"/>
      <c r="H10" s="288"/>
      <c r="I10" s="289"/>
      <c r="J10" s="288"/>
      <c r="K10" s="289"/>
      <c r="L10" s="288"/>
      <c r="M10" s="289"/>
      <c r="N10" s="288"/>
      <c r="O10" s="289"/>
      <c r="P10" s="288"/>
      <c r="Q10" s="289"/>
    </row>
    <row r="11" spans="2:17" ht="26.25" customHeight="1" x14ac:dyDescent="0.25">
      <c r="B11" s="309"/>
      <c r="C11" s="8" t="s">
        <v>1</v>
      </c>
      <c r="D11" s="288"/>
      <c r="E11" s="289"/>
      <c r="F11" s="288" t="s">
        <v>39</v>
      </c>
      <c r="G11" s="289"/>
      <c r="H11" s="288" t="s">
        <v>40</v>
      </c>
      <c r="I11" s="289"/>
      <c r="J11" s="288" t="s">
        <v>46</v>
      </c>
      <c r="K11" s="289"/>
      <c r="L11" s="329" t="s">
        <v>42</v>
      </c>
      <c r="M11" s="330"/>
      <c r="N11" s="329" t="s">
        <v>42</v>
      </c>
      <c r="O11" s="330"/>
      <c r="P11" s="288" t="s">
        <v>43</v>
      </c>
      <c r="Q11" s="289"/>
    </row>
    <row r="12" spans="2:17" ht="26.25" customHeight="1" x14ac:dyDescent="0.25">
      <c r="B12" s="4">
        <f>$C$5</f>
        <v>3502</v>
      </c>
      <c r="C12" s="8" t="s">
        <v>0</v>
      </c>
      <c r="D12" s="288"/>
      <c r="E12" s="289"/>
      <c r="F12" s="288" t="s">
        <v>44</v>
      </c>
      <c r="G12" s="289"/>
      <c r="H12" s="288" t="s">
        <v>44</v>
      </c>
      <c r="I12" s="289"/>
      <c r="J12" s="288" t="s">
        <v>45</v>
      </c>
      <c r="K12" s="289"/>
      <c r="L12" s="288" t="s">
        <v>44</v>
      </c>
      <c r="M12" s="289"/>
      <c r="N12" s="288" t="s">
        <v>44</v>
      </c>
      <c r="O12" s="289"/>
      <c r="P12" s="288" t="s">
        <v>44</v>
      </c>
      <c r="Q12" s="289"/>
    </row>
    <row r="13" spans="2:17" ht="26.25" customHeight="1" x14ac:dyDescent="0.25">
      <c r="B13" s="308" t="s">
        <v>22</v>
      </c>
      <c r="C13" s="8" t="s">
        <v>23</v>
      </c>
      <c r="D13" s="288" t="s">
        <v>45</v>
      </c>
      <c r="E13" s="289"/>
      <c r="F13" s="288"/>
      <c r="G13" s="289"/>
      <c r="H13" s="288"/>
      <c r="I13" s="289"/>
      <c r="J13" s="288"/>
      <c r="K13" s="289"/>
      <c r="L13" s="288"/>
      <c r="M13" s="289"/>
      <c r="N13" s="288"/>
      <c r="O13" s="289"/>
      <c r="P13" s="288"/>
      <c r="Q13" s="289"/>
    </row>
    <row r="14" spans="2:17" ht="26.25" customHeight="1" x14ac:dyDescent="0.25">
      <c r="B14" s="309"/>
      <c r="C14" s="8" t="s">
        <v>1</v>
      </c>
      <c r="D14" s="288"/>
      <c r="E14" s="289"/>
      <c r="F14" s="288" t="s">
        <v>41</v>
      </c>
      <c r="G14" s="289"/>
      <c r="H14" s="288" t="s">
        <v>49</v>
      </c>
      <c r="I14" s="289"/>
      <c r="J14" s="288" t="s">
        <v>39</v>
      </c>
      <c r="K14" s="289"/>
      <c r="L14" s="288" t="s">
        <v>47</v>
      </c>
      <c r="M14" s="289"/>
      <c r="N14" s="288" t="s">
        <v>43</v>
      </c>
      <c r="O14" s="289"/>
      <c r="P14" s="288" t="s">
        <v>58</v>
      </c>
      <c r="Q14" s="289"/>
    </row>
    <row r="15" spans="2:17" ht="26.25" customHeight="1" x14ac:dyDescent="0.25">
      <c r="B15" s="4">
        <f>$C$5</f>
        <v>3502</v>
      </c>
      <c r="C15" s="8" t="s">
        <v>32</v>
      </c>
      <c r="D15" s="288" t="s">
        <v>42</v>
      </c>
      <c r="E15" s="289"/>
      <c r="F15" s="288" t="s">
        <v>45</v>
      </c>
      <c r="G15" s="289"/>
      <c r="H15" s="288"/>
      <c r="I15" s="289"/>
      <c r="J15" s="288"/>
      <c r="K15" s="289"/>
      <c r="L15" s="288"/>
      <c r="M15" s="289"/>
      <c r="N15" s="288"/>
      <c r="O15" s="289"/>
      <c r="P15" s="288" t="s">
        <v>60</v>
      </c>
      <c r="Q15" s="289"/>
    </row>
    <row r="16" spans="2:17" ht="26.25" customHeight="1" x14ac:dyDescent="0.25">
      <c r="B16" s="308" t="s">
        <v>24</v>
      </c>
      <c r="C16" s="8" t="s">
        <v>27</v>
      </c>
      <c r="D16" s="288" t="s">
        <v>49</v>
      </c>
      <c r="E16" s="289"/>
      <c r="F16" s="288" t="s">
        <v>49</v>
      </c>
      <c r="G16" s="289"/>
      <c r="H16" s="288" t="s">
        <v>58</v>
      </c>
      <c r="I16" s="289"/>
      <c r="J16" s="288" t="s">
        <v>58</v>
      </c>
      <c r="K16" s="289"/>
      <c r="L16" s="288" t="s">
        <v>46</v>
      </c>
      <c r="M16" s="289"/>
      <c r="N16" s="288" t="s">
        <v>59</v>
      </c>
      <c r="O16" s="289"/>
      <c r="P16" s="288" t="s">
        <v>49</v>
      </c>
      <c r="Q16" s="289"/>
    </row>
    <row r="17" spans="2:18" ht="26.25" customHeight="1" x14ac:dyDescent="0.25">
      <c r="B17" s="309"/>
      <c r="C17" s="8" t="s">
        <v>25</v>
      </c>
      <c r="D17" s="288" t="s">
        <v>43</v>
      </c>
      <c r="E17" s="289"/>
      <c r="F17" s="288" t="s">
        <v>42</v>
      </c>
      <c r="G17" s="289"/>
      <c r="H17" s="288"/>
      <c r="I17" s="289"/>
      <c r="J17" s="288"/>
      <c r="K17" s="289"/>
      <c r="L17" s="288"/>
      <c r="M17" s="289"/>
      <c r="N17" s="288"/>
      <c r="O17" s="289"/>
      <c r="P17" s="288" t="s">
        <v>61</v>
      </c>
      <c r="Q17" s="289"/>
    </row>
    <row r="18" spans="2:18" ht="22.5" customHeight="1" x14ac:dyDescent="0.25">
      <c r="B18" s="4">
        <f>$C$5</f>
        <v>3502</v>
      </c>
      <c r="C18" s="310" t="s">
        <v>36</v>
      </c>
      <c r="D18" s="290" t="s">
        <v>53</v>
      </c>
      <c r="E18" s="291"/>
      <c r="F18" s="290"/>
      <c r="G18" s="291"/>
      <c r="H18" s="290"/>
      <c r="I18" s="291"/>
      <c r="J18" s="290"/>
      <c r="K18" s="291"/>
      <c r="L18" s="290"/>
      <c r="M18" s="291"/>
      <c r="N18" s="290"/>
      <c r="O18" s="291"/>
      <c r="P18" s="290" t="s">
        <v>40</v>
      </c>
      <c r="Q18" s="291"/>
    </row>
    <row r="19" spans="2:18" x14ac:dyDescent="0.25">
      <c r="B19" s="7" t="s">
        <v>26</v>
      </c>
      <c r="C19" s="311"/>
      <c r="D19" s="292"/>
      <c r="E19" s="293"/>
      <c r="F19" s="292"/>
      <c r="G19" s="293"/>
      <c r="H19" s="292"/>
      <c r="I19" s="293"/>
      <c r="J19" s="292"/>
      <c r="K19" s="293"/>
      <c r="L19" s="292"/>
      <c r="M19" s="293"/>
      <c r="N19" s="292"/>
      <c r="O19" s="293"/>
      <c r="P19" s="292"/>
      <c r="Q19" s="293"/>
      <c r="R19" s="5"/>
    </row>
    <row r="20" spans="2:18" ht="26.25" customHeight="1" x14ac:dyDescent="0.25">
      <c r="B20" s="4">
        <f>$C$5</f>
        <v>3502</v>
      </c>
      <c r="C20" s="8" t="s">
        <v>0</v>
      </c>
      <c r="D20" s="288"/>
      <c r="E20" s="289"/>
      <c r="F20" s="288" t="s">
        <v>47</v>
      </c>
      <c r="G20" s="289"/>
      <c r="H20" s="288" t="s">
        <v>45</v>
      </c>
      <c r="I20" s="289"/>
      <c r="J20" s="288" t="s">
        <v>37</v>
      </c>
      <c r="K20" s="289"/>
      <c r="L20" s="288" t="s">
        <v>37</v>
      </c>
      <c r="M20" s="289"/>
      <c r="N20" s="288" t="s">
        <v>53</v>
      </c>
      <c r="O20" s="289"/>
      <c r="P20" s="288" t="s">
        <v>39</v>
      </c>
      <c r="Q20" s="289"/>
    </row>
    <row r="21" spans="2:18" ht="26.25" customHeight="1" x14ac:dyDescent="0.25">
      <c r="B21" s="308" t="s">
        <v>33</v>
      </c>
      <c r="C21" s="8" t="s">
        <v>23</v>
      </c>
      <c r="D21" s="288" t="s">
        <v>41</v>
      </c>
      <c r="E21" s="289"/>
      <c r="F21" s="288"/>
      <c r="G21" s="289"/>
      <c r="H21" s="288"/>
      <c r="I21" s="289"/>
      <c r="J21" s="288"/>
      <c r="K21" s="289"/>
      <c r="L21" s="288"/>
      <c r="M21" s="289"/>
      <c r="N21" s="288"/>
      <c r="O21" s="289"/>
      <c r="P21" s="288"/>
      <c r="Q21" s="289"/>
    </row>
    <row r="22" spans="2:18" ht="26.25" customHeight="1" x14ac:dyDescent="0.25">
      <c r="B22" s="309"/>
      <c r="C22" s="8" t="s">
        <v>1</v>
      </c>
      <c r="D22" s="288"/>
      <c r="E22" s="289"/>
      <c r="F22" s="288" t="s">
        <v>43</v>
      </c>
      <c r="G22" s="289"/>
      <c r="H22" s="288" t="s">
        <v>39</v>
      </c>
      <c r="I22" s="289"/>
      <c r="J22" s="288" t="s">
        <v>42</v>
      </c>
      <c r="K22" s="289"/>
      <c r="L22" s="288" t="s">
        <v>39</v>
      </c>
      <c r="M22" s="289"/>
      <c r="N22" s="288" t="s">
        <v>46</v>
      </c>
      <c r="O22" s="289"/>
      <c r="P22" s="288" t="s">
        <v>49</v>
      </c>
      <c r="Q22" s="289"/>
    </row>
    <row r="23" spans="2:18" ht="26.25" customHeight="1" x14ac:dyDescent="0.25">
      <c r="B23" s="4">
        <f>$C$5</f>
        <v>3502</v>
      </c>
      <c r="C23" s="8" t="s">
        <v>0</v>
      </c>
      <c r="D23" s="288"/>
      <c r="E23" s="289"/>
      <c r="F23" s="288" t="s">
        <v>48</v>
      </c>
      <c r="G23" s="289"/>
      <c r="H23" s="288" t="s">
        <v>37</v>
      </c>
      <c r="I23" s="289"/>
      <c r="J23" s="288" t="s">
        <v>48</v>
      </c>
      <c r="K23" s="289"/>
      <c r="L23" s="288" t="s">
        <v>48</v>
      </c>
      <c r="M23" s="289"/>
      <c r="N23" s="288" t="s">
        <v>48</v>
      </c>
      <c r="O23" s="289"/>
      <c r="P23" s="288" t="s">
        <v>37</v>
      </c>
      <c r="Q23" s="289"/>
    </row>
    <row r="24" spans="2:18" ht="26.25" customHeight="1" x14ac:dyDescent="0.25">
      <c r="B24" s="308" t="s">
        <v>28</v>
      </c>
      <c r="C24" s="8" t="s">
        <v>23</v>
      </c>
      <c r="D24" s="288" t="s">
        <v>40</v>
      </c>
      <c r="E24" s="289"/>
      <c r="F24" s="288"/>
      <c r="G24" s="289"/>
      <c r="H24" s="288"/>
      <c r="I24" s="289"/>
      <c r="J24" s="288"/>
      <c r="K24" s="289"/>
      <c r="L24" s="288"/>
      <c r="M24" s="289"/>
      <c r="N24" s="288"/>
      <c r="O24" s="289"/>
      <c r="P24" s="288"/>
      <c r="Q24" s="289"/>
    </row>
    <row r="25" spans="2:18" ht="26.25" customHeight="1" x14ac:dyDescent="0.25">
      <c r="B25" s="309"/>
      <c r="C25" s="8" t="s">
        <v>1</v>
      </c>
      <c r="D25" s="288"/>
      <c r="E25" s="289"/>
      <c r="F25" s="288" t="s">
        <v>40</v>
      </c>
      <c r="G25" s="289"/>
      <c r="H25" s="288" t="s">
        <v>43</v>
      </c>
      <c r="I25" s="289"/>
      <c r="J25" s="288" t="s">
        <v>47</v>
      </c>
      <c r="K25" s="289"/>
      <c r="L25" s="288" t="s">
        <v>41</v>
      </c>
      <c r="M25" s="289"/>
      <c r="N25" s="288" t="s">
        <v>47</v>
      </c>
      <c r="O25" s="289"/>
      <c r="P25" s="288" t="s">
        <v>41</v>
      </c>
      <c r="Q25" s="289"/>
    </row>
    <row r="26" spans="2:18" ht="26.25" customHeight="1" x14ac:dyDescent="0.25">
      <c r="B26" s="6" t="s">
        <v>34</v>
      </c>
      <c r="C26" s="310" t="s">
        <v>29</v>
      </c>
      <c r="D26" s="290" t="s">
        <v>49</v>
      </c>
      <c r="E26" s="291"/>
      <c r="F26" s="290" t="s">
        <v>51</v>
      </c>
      <c r="G26" s="291"/>
      <c r="H26" s="290" t="s">
        <v>51</v>
      </c>
      <c r="I26" s="291"/>
      <c r="J26" s="290" t="s">
        <v>51</v>
      </c>
      <c r="K26" s="291"/>
      <c r="L26" s="290" t="s">
        <v>51</v>
      </c>
      <c r="M26" s="291"/>
      <c r="N26" s="290" t="s">
        <v>51</v>
      </c>
      <c r="O26" s="291"/>
      <c r="P26" s="290" t="s">
        <v>49</v>
      </c>
      <c r="Q26" s="291"/>
    </row>
    <row r="27" spans="2:18" ht="26.25" customHeight="1" x14ac:dyDescent="0.25">
      <c r="B27" s="7" t="s">
        <v>35</v>
      </c>
      <c r="C27" s="311"/>
      <c r="D27" s="292"/>
      <c r="E27" s="293"/>
      <c r="F27" s="292"/>
      <c r="G27" s="293"/>
      <c r="H27" s="292"/>
      <c r="I27" s="293"/>
      <c r="J27" s="292"/>
      <c r="K27" s="293"/>
      <c r="L27" s="292"/>
      <c r="M27" s="293"/>
      <c r="N27" s="292"/>
      <c r="O27" s="293"/>
      <c r="P27" s="292"/>
      <c r="Q27" s="293"/>
    </row>
    <row r="28" spans="2:18" x14ac:dyDescent="0.25"/>
    <row r="29" spans="2:18" hidden="1" x14ac:dyDescent="0.25"/>
    <row r="30" spans="2:18" hidden="1" x14ac:dyDescent="0.25"/>
    <row r="31" spans="2:18" hidden="1" x14ac:dyDescent="0.25"/>
    <row r="32" spans="2:18" hidden="1" x14ac:dyDescent="0.25"/>
  </sheetData>
  <mergeCells count="151">
    <mergeCell ref="P25:Q25"/>
    <mergeCell ref="N25:O25"/>
    <mergeCell ref="L25:M25"/>
    <mergeCell ref="J25:K25"/>
    <mergeCell ref="H25:I25"/>
    <mergeCell ref="F25:G25"/>
    <mergeCell ref="D25:E25"/>
    <mergeCell ref="P24:Q24"/>
    <mergeCell ref="N24:O24"/>
    <mergeCell ref="L24:M24"/>
    <mergeCell ref="J24:K24"/>
    <mergeCell ref="H24:I24"/>
    <mergeCell ref="F24:G24"/>
    <mergeCell ref="D24:E24"/>
    <mergeCell ref="D17:E17"/>
    <mergeCell ref="P16:Q16"/>
    <mergeCell ref="P22:Q22"/>
    <mergeCell ref="N22:O22"/>
    <mergeCell ref="L22:M22"/>
    <mergeCell ref="J22:K22"/>
    <mergeCell ref="H22:I22"/>
    <mergeCell ref="F22:G22"/>
    <mergeCell ref="D22:E22"/>
    <mergeCell ref="P21:Q21"/>
    <mergeCell ref="L18:M19"/>
    <mergeCell ref="J18:K19"/>
    <mergeCell ref="H18:I19"/>
    <mergeCell ref="F18:G19"/>
    <mergeCell ref="D18:E19"/>
    <mergeCell ref="P20:Q20"/>
    <mergeCell ref="N20:O20"/>
    <mergeCell ref="L20:M20"/>
    <mergeCell ref="J20:K20"/>
    <mergeCell ref="H20:I20"/>
    <mergeCell ref="F20:G20"/>
    <mergeCell ref="D20:E20"/>
    <mergeCell ref="P18:Q19"/>
    <mergeCell ref="P17:Q17"/>
    <mergeCell ref="N17:O17"/>
    <mergeCell ref="L17:M17"/>
    <mergeCell ref="J17:K17"/>
    <mergeCell ref="H17:I17"/>
    <mergeCell ref="F17:G17"/>
    <mergeCell ref="P14:Q14"/>
    <mergeCell ref="N14:O14"/>
    <mergeCell ref="L14:M14"/>
    <mergeCell ref="J14:K14"/>
    <mergeCell ref="H14:I14"/>
    <mergeCell ref="F11:G11"/>
    <mergeCell ref="H11:I11"/>
    <mergeCell ref="J11:K11"/>
    <mergeCell ref="L11:M11"/>
    <mergeCell ref="N11:O11"/>
    <mergeCell ref="N13:O13"/>
    <mergeCell ref="P13:Q13"/>
    <mergeCell ref="D16:E16"/>
    <mergeCell ref="F16:G16"/>
    <mergeCell ref="J16:K16"/>
    <mergeCell ref="L16:M16"/>
    <mergeCell ref="N16:O16"/>
    <mergeCell ref="N15:O15"/>
    <mergeCell ref="L15:M15"/>
    <mergeCell ref="J15:K15"/>
    <mergeCell ref="H15:I15"/>
    <mergeCell ref="F15:G15"/>
    <mergeCell ref="D15:E15"/>
    <mergeCell ref="P15:Q15"/>
    <mergeCell ref="P12:Q12"/>
    <mergeCell ref="D11:E11"/>
    <mergeCell ref="B7:B8"/>
    <mergeCell ref="C7:C8"/>
    <mergeCell ref="K5:L5"/>
    <mergeCell ref="N26:O27"/>
    <mergeCell ref="P26:Q27"/>
    <mergeCell ref="C26:C27"/>
    <mergeCell ref="D26:E27"/>
    <mergeCell ref="F26:G27"/>
    <mergeCell ref="H26:I27"/>
    <mergeCell ref="J26:K27"/>
    <mergeCell ref="L26:M27"/>
    <mergeCell ref="P23:Q23"/>
    <mergeCell ref="D23:E23"/>
    <mergeCell ref="F23:G23"/>
    <mergeCell ref="H23:I23"/>
    <mergeCell ref="J23:K23"/>
    <mergeCell ref="L23:M23"/>
    <mergeCell ref="N23:O23"/>
    <mergeCell ref="D7:E7"/>
    <mergeCell ref="F7:G7"/>
    <mergeCell ref="H7:I7"/>
    <mergeCell ref="J7:K7"/>
    <mergeCell ref="L7:M7"/>
    <mergeCell ref="N7:O7"/>
    <mergeCell ref="P7:Q7"/>
    <mergeCell ref="B24:B25"/>
    <mergeCell ref="B21:B22"/>
    <mergeCell ref="B16:B17"/>
    <mergeCell ref="C18:C19"/>
    <mergeCell ref="B13:B14"/>
    <mergeCell ref="N2:O2"/>
    <mergeCell ref="P2:Q2"/>
    <mergeCell ref="D4:G4"/>
    <mergeCell ref="H4:J4"/>
    <mergeCell ref="N9:O9"/>
    <mergeCell ref="P9:Q9"/>
    <mergeCell ref="B10:B11"/>
    <mergeCell ref="D10:E10"/>
    <mergeCell ref="F10:G10"/>
    <mergeCell ref="H10:I10"/>
    <mergeCell ref="J10:K10"/>
    <mergeCell ref="L10:M10"/>
    <mergeCell ref="N10:O10"/>
    <mergeCell ref="P10:Q10"/>
    <mergeCell ref="D5:G5"/>
    <mergeCell ref="H5:J5"/>
    <mergeCell ref="D9:E9"/>
    <mergeCell ref="F9:G9"/>
    <mergeCell ref="H9:I9"/>
    <mergeCell ref="J9:K9"/>
    <mergeCell ref="L9:M9"/>
    <mergeCell ref="D2:G2"/>
    <mergeCell ref="L2:M2"/>
    <mergeCell ref="D8:E8"/>
    <mergeCell ref="F8:G8"/>
    <mergeCell ref="H8:I8"/>
    <mergeCell ref="J8:K8"/>
    <mergeCell ref="L8:M8"/>
    <mergeCell ref="N8:O8"/>
    <mergeCell ref="P8:Q8"/>
    <mergeCell ref="P11:Q11"/>
    <mergeCell ref="L13:M13"/>
    <mergeCell ref="J13:K13"/>
    <mergeCell ref="H13:I13"/>
    <mergeCell ref="F13:G13"/>
    <mergeCell ref="D13:E13"/>
    <mergeCell ref="N21:O21"/>
    <mergeCell ref="N18:O19"/>
    <mergeCell ref="L21:M21"/>
    <mergeCell ref="J21:K21"/>
    <mergeCell ref="H21:I21"/>
    <mergeCell ref="F21:G21"/>
    <mergeCell ref="D21:E21"/>
    <mergeCell ref="H16:I16"/>
    <mergeCell ref="F14:G14"/>
    <mergeCell ref="D14:E14"/>
    <mergeCell ref="D12:E12"/>
    <mergeCell ref="F12:G12"/>
    <mergeCell ref="H12:I12"/>
    <mergeCell ref="J12:K12"/>
    <mergeCell ref="L12:M12"/>
    <mergeCell ref="N12:O12"/>
  </mergeCells>
  <dataValidations count="2">
    <dataValidation type="list" allowBlank="1" showInputMessage="1" showErrorMessage="1" sqref="C9:C27" xr:uid="{00000000-0002-0000-0100-000000000000}">
      <formula1>Timer</formula1>
    </dataValidation>
    <dataValidation type="list" allowBlank="1" showInputMessage="1" showErrorMessage="1" sqref="D9:Q27" xr:uid="{00000000-0002-0000-0100-000001000000}">
      <formula1>List_Guard</formula1>
    </dataValidation>
  </dataValidations>
  <pageMargins left="0.64" right="0.52" top="0.75" bottom="0.59" header="0.3" footer="0.3"/>
  <pageSetup scale="78" orientation="landscape" horizontalDpi="4294967292"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theme="1" tint="4.9989318521683403E-2"/>
  </sheetPr>
  <dimension ref="A11:R316"/>
  <sheetViews>
    <sheetView zoomScale="80" zoomScaleNormal="80" zoomScaleSheetLayoutView="50" workbookViewId="0" xr3:uid="{842E5F09-E766-5B8D-85AF-A39847EA96FD}">
      <pane xSplit="1" ySplit="11" topLeftCell="B299" activePane="bottomRight" state="frozen"/>
      <selection pane="bottomLeft" activeCell="A12" sqref="A12"/>
      <selection pane="topRight" activeCell="B1" sqref="B1"/>
      <selection pane="bottomRight" activeCell="C12" sqref="C12:D12"/>
    </sheetView>
  </sheetViews>
  <sheetFormatPr defaultColWidth="0" defaultRowHeight="15.75" x14ac:dyDescent="0.25"/>
  <cols>
    <col min="1" max="1" width="1.6328125" customWidth="1"/>
    <col min="2" max="12" width="12.40625" customWidth="1"/>
    <col min="13" max="13" width="12.1328125" bestFit="1" customWidth="1"/>
    <col min="14" max="15" width="12.40625" customWidth="1"/>
    <col min="16" max="16" width="3.40625" customWidth="1"/>
    <col min="17" max="18" width="0" hidden="1" customWidth="1"/>
    <col min="19" max="16384" width="11.04296875" hidden="1"/>
  </cols>
  <sheetData>
    <row r="11" spans="2:15" ht="22.5" x14ac:dyDescent="0.35">
      <c r="C11" s="335" t="s">
        <v>79</v>
      </c>
      <c r="D11" s="335"/>
      <c r="E11" s="333" t="str">
        <f>Employeed!$F$1</f>
        <v>THE HOME DEPOT</v>
      </c>
      <c r="F11" s="334"/>
      <c r="H11" t="s">
        <v>80</v>
      </c>
      <c r="I11" s="69">
        <f>Employeed!$D$1</f>
        <v>3502</v>
      </c>
    </row>
    <row r="12" spans="2:15" ht="24" customHeight="1" x14ac:dyDescent="0.25">
      <c r="B12" s="14" t="s">
        <v>77</v>
      </c>
      <c r="C12" s="336"/>
      <c r="D12" s="336"/>
      <c r="E12" s="66"/>
      <c r="K12" s="337" t="s">
        <v>78</v>
      </c>
      <c r="L12" s="337"/>
      <c r="M12" s="75" t="s">
        <v>86</v>
      </c>
      <c r="N12" s="68"/>
      <c r="O12" s="67"/>
    </row>
    <row r="13" spans="2:15" x14ac:dyDescent="0.25">
      <c r="B13" s="338" t="s">
        <v>10</v>
      </c>
      <c r="C13" s="338"/>
      <c r="D13" s="339" t="s">
        <v>9</v>
      </c>
      <c r="E13" s="340"/>
      <c r="F13" s="341" t="s">
        <v>8</v>
      </c>
      <c r="G13" s="342"/>
      <c r="H13" s="343" t="s">
        <v>7</v>
      </c>
      <c r="I13" s="344"/>
      <c r="J13" s="345" t="s">
        <v>6</v>
      </c>
      <c r="K13" s="346"/>
      <c r="L13" s="347" t="s">
        <v>5</v>
      </c>
      <c r="M13" s="348" t="s">
        <v>81</v>
      </c>
      <c r="N13" s="331" t="s">
        <v>4</v>
      </c>
      <c r="O13" s="332"/>
    </row>
    <row r="14" spans="2:15" x14ac:dyDescent="0.25">
      <c r="B14" s="65" t="s">
        <v>76</v>
      </c>
      <c r="C14" s="64" t="s">
        <v>75</v>
      </c>
      <c r="D14" s="65" t="s">
        <v>76</v>
      </c>
      <c r="E14" s="64" t="s">
        <v>75</v>
      </c>
      <c r="F14" s="65" t="s">
        <v>76</v>
      </c>
      <c r="G14" s="64" t="s">
        <v>75</v>
      </c>
      <c r="H14" s="65" t="s">
        <v>76</v>
      </c>
      <c r="I14" s="64" t="s">
        <v>75</v>
      </c>
      <c r="J14" s="65" t="s">
        <v>76</v>
      </c>
      <c r="K14" s="64" t="s">
        <v>75</v>
      </c>
      <c r="L14" s="65" t="s">
        <v>76</v>
      </c>
      <c r="M14" s="64" t="s">
        <v>75</v>
      </c>
      <c r="N14" s="65" t="s">
        <v>76</v>
      </c>
      <c r="O14" s="64" t="s">
        <v>75</v>
      </c>
    </row>
    <row r="15" spans="2:15" s="74" customFormat="1" ht="18" customHeight="1" x14ac:dyDescent="0.25">
      <c r="B15" s="72"/>
      <c r="C15" s="72"/>
      <c r="D15" s="72"/>
      <c r="E15" s="72"/>
      <c r="F15" s="72"/>
      <c r="G15" s="72"/>
      <c r="H15" s="72"/>
      <c r="I15" s="72"/>
      <c r="J15" s="72"/>
      <c r="K15" s="72"/>
      <c r="L15" s="72"/>
      <c r="M15" s="72"/>
      <c r="N15" s="72"/>
      <c r="O15" s="73"/>
    </row>
    <row r="16" spans="2:15" x14ac:dyDescent="0.25">
      <c r="B16" s="63" t="s">
        <v>74</v>
      </c>
      <c r="C16" s="58" t="s">
        <v>73</v>
      </c>
      <c r="D16" s="63" t="s">
        <v>74</v>
      </c>
      <c r="E16" s="58" t="s">
        <v>73</v>
      </c>
      <c r="F16" s="63" t="s">
        <v>74</v>
      </c>
      <c r="G16" s="58" t="s">
        <v>73</v>
      </c>
      <c r="H16" s="63" t="s">
        <v>74</v>
      </c>
      <c r="I16" s="58" t="s">
        <v>73</v>
      </c>
      <c r="J16" s="63" t="s">
        <v>74</v>
      </c>
      <c r="K16" s="58" t="s">
        <v>73</v>
      </c>
      <c r="L16" s="63" t="s">
        <v>74</v>
      </c>
      <c r="M16" s="58" t="s">
        <v>73</v>
      </c>
      <c r="N16" s="63" t="s">
        <v>74</v>
      </c>
      <c r="O16" s="58" t="s">
        <v>73</v>
      </c>
    </row>
    <row r="17" spans="2:15" s="74" customFormat="1" ht="18" customHeight="1" x14ac:dyDescent="0.25">
      <c r="B17" s="72"/>
      <c r="C17" s="72"/>
      <c r="D17" s="72"/>
      <c r="E17" s="72"/>
      <c r="F17" s="72"/>
      <c r="G17" s="72"/>
      <c r="H17" s="72"/>
      <c r="I17" s="72"/>
      <c r="J17" s="72"/>
      <c r="K17" s="72"/>
      <c r="L17" s="72"/>
      <c r="M17" s="72"/>
      <c r="N17" s="72"/>
      <c r="O17" s="73"/>
    </row>
    <row r="18" spans="2:15" s="71" customFormat="1" ht="13.5" x14ac:dyDescent="0.15">
      <c r="B18" s="70" t="s">
        <v>72</v>
      </c>
      <c r="C18" s="70" t="s">
        <v>72</v>
      </c>
      <c r="D18" s="70" t="s">
        <v>72</v>
      </c>
      <c r="E18" s="70" t="s">
        <v>72</v>
      </c>
      <c r="F18" s="70" t="s">
        <v>72</v>
      </c>
      <c r="G18" s="70" t="s">
        <v>72</v>
      </c>
      <c r="H18" s="70" t="s">
        <v>72</v>
      </c>
      <c r="I18" s="70" t="s">
        <v>72</v>
      </c>
      <c r="J18" s="70" t="s">
        <v>72</v>
      </c>
      <c r="K18" s="70" t="s">
        <v>72</v>
      </c>
      <c r="L18" s="70" t="s">
        <v>72</v>
      </c>
      <c r="M18" s="70" t="s">
        <v>72</v>
      </c>
      <c r="N18" s="70" t="s">
        <v>72</v>
      </c>
      <c r="O18" s="70" t="s">
        <v>72</v>
      </c>
    </row>
    <row r="19" spans="2:15" ht="28.5" customHeight="1" x14ac:dyDescent="0.25">
      <c r="B19" s="60"/>
      <c r="C19" s="60"/>
      <c r="D19" s="60"/>
      <c r="E19" s="60"/>
      <c r="F19" s="60"/>
      <c r="G19" s="60"/>
      <c r="H19" s="60"/>
      <c r="I19" s="60"/>
      <c r="J19" s="60"/>
      <c r="K19" s="60"/>
      <c r="L19" s="60"/>
      <c r="M19" s="60"/>
      <c r="N19" s="60"/>
      <c r="O19" s="60"/>
    </row>
    <row r="22" spans="2:15" ht="24" customHeight="1" x14ac:dyDescent="0.25">
      <c r="B22" s="14" t="s">
        <v>77</v>
      </c>
      <c r="C22" s="336"/>
      <c r="D22" s="336"/>
      <c r="E22" s="66"/>
      <c r="K22" s="337" t="s">
        <v>78</v>
      </c>
      <c r="L22" s="337"/>
      <c r="M22" s="75" t="s">
        <v>82</v>
      </c>
      <c r="N22" s="68"/>
      <c r="O22" s="67"/>
    </row>
    <row r="23" spans="2:15" x14ac:dyDescent="0.25">
      <c r="B23" s="338" t="s">
        <v>10</v>
      </c>
      <c r="C23" s="338"/>
      <c r="D23" s="339" t="s">
        <v>9</v>
      </c>
      <c r="E23" s="340"/>
      <c r="F23" s="341" t="s">
        <v>8</v>
      </c>
      <c r="G23" s="342"/>
      <c r="H23" s="343" t="s">
        <v>7</v>
      </c>
      <c r="I23" s="344"/>
      <c r="J23" s="345" t="s">
        <v>6</v>
      </c>
      <c r="K23" s="346"/>
      <c r="L23" s="347" t="s">
        <v>5</v>
      </c>
      <c r="M23" s="348"/>
      <c r="N23" s="331" t="s">
        <v>4</v>
      </c>
      <c r="O23" s="332"/>
    </row>
    <row r="24" spans="2:15" x14ac:dyDescent="0.25">
      <c r="B24" s="65" t="s">
        <v>76</v>
      </c>
      <c r="C24" s="64" t="s">
        <v>75</v>
      </c>
      <c r="D24" s="65" t="s">
        <v>76</v>
      </c>
      <c r="E24" s="64" t="s">
        <v>75</v>
      </c>
      <c r="F24" s="65" t="s">
        <v>76</v>
      </c>
      <c r="G24" s="64" t="s">
        <v>75</v>
      </c>
      <c r="H24" s="65" t="s">
        <v>76</v>
      </c>
      <c r="I24" s="64" t="s">
        <v>75</v>
      </c>
      <c r="J24" s="65" t="s">
        <v>76</v>
      </c>
      <c r="K24" s="64" t="s">
        <v>75</v>
      </c>
      <c r="L24" s="65" t="s">
        <v>76</v>
      </c>
      <c r="M24" s="64" t="s">
        <v>75</v>
      </c>
      <c r="N24" s="65" t="s">
        <v>76</v>
      </c>
      <c r="O24" s="64" t="s">
        <v>75</v>
      </c>
    </row>
    <row r="25" spans="2:15" x14ac:dyDescent="0.25">
      <c r="B25" s="62"/>
      <c r="C25" s="62"/>
      <c r="D25" s="62"/>
      <c r="E25" s="62"/>
      <c r="F25" s="62"/>
      <c r="G25" s="62"/>
      <c r="H25" s="62"/>
      <c r="I25" s="62"/>
      <c r="J25" s="62"/>
      <c r="K25" s="62"/>
      <c r="L25" s="62"/>
      <c r="M25" s="62"/>
      <c r="N25" s="62"/>
      <c r="O25" s="61"/>
    </row>
    <row r="26" spans="2:15" x14ac:dyDescent="0.25">
      <c r="B26" s="63" t="s">
        <v>74</v>
      </c>
      <c r="C26" s="58" t="s">
        <v>73</v>
      </c>
      <c r="D26" s="63" t="s">
        <v>74</v>
      </c>
      <c r="E26" s="58" t="s">
        <v>73</v>
      </c>
      <c r="F26" s="63" t="s">
        <v>74</v>
      </c>
      <c r="G26" s="58" t="s">
        <v>73</v>
      </c>
      <c r="H26" s="63" t="s">
        <v>74</v>
      </c>
      <c r="I26" s="58" t="s">
        <v>73</v>
      </c>
      <c r="J26" s="63" t="s">
        <v>74</v>
      </c>
      <c r="K26" s="58" t="s">
        <v>73</v>
      </c>
      <c r="L26" s="63" t="s">
        <v>74</v>
      </c>
      <c r="M26" s="58" t="s">
        <v>73</v>
      </c>
      <c r="N26" s="63" t="s">
        <v>74</v>
      </c>
      <c r="O26" s="58" t="s">
        <v>73</v>
      </c>
    </row>
    <row r="27" spans="2:15" x14ac:dyDescent="0.25">
      <c r="B27" s="62"/>
      <c r="C27" s="62"/>
      <c r="D27" s="62"/>
      <c r="E27" s="62"/>
      <c r="F27" s="62"/>
      <c r="G27" s="62"/>
      <c r="H27" s="62"/>
      <c r="I27" s="62"/>
      <c r="J27" s="62"/>
      <c r="K27" s="62"/>
      <c r="L27" s="62"/>
      <c r="M27" s="62"/>
      <c r="N27" s="62"/>
      <c r="O27" s="61"/>
    </row>
    <row r="28" spans="2:15" x14ac:dyDescent="0.25">
      <c r="B28" s="58" t="s">
        <v>72</v>
      </c>
      <c r="C28" s="58" t="s">
        <v>72</v>
      </c>
      <c r="D28" s="58" t="s">
        <v>72</v>
      </c>
      <c r="E28" s="58" t="s">
        <v>72</v>
      </c>
      <c r="F28" s="58" t="s">
        <v>72</v>
      </c>
      <c r="G28" s="58" t="s">
        <v>72</v>
      </c>
      <c r="H28" s="58" t="s">
        <v>72</v>
      </c>
      <c r="I28" s="58" t="s">
        <v>72</v>
      </c>
      <c r="J28" s="58" t="s">
        <v>72</v>
      </c>
      <c r="K28" s="58" t="s">
        <v>72</v>
      </c>
      <c r="L28" s="58" t="s">
        <v>72</v>
      </c>
      <c r="M28" s="58" t="s">
        <v>72</v>
      </c>
      <c r="N28" s="58" t="s">
        <v>72</v>
      </c>
      <c r="O28" s="58" t="s">
        <v>72</v>
      </c>
    </row>
    <row r="29" spans="2:15" ht="28.5" customHeight="1" x14ac:dyDescent="0.25">
      <c r="B29" s="60"/>
      <c r="C29" s="60"/>
      <c r="D29" s="60"/>
      <c r="E29" s="60"/>
      <c r="F29" s="60"/>
      <c r="G29" s="60"/>
      <c r="H29" s="60"/>
      <c r="I29" s="60"/>
      <c r="J29" s="60"/>
      <c r="K29" s="60"/>
      <c r="L29" s="60"/>
      <c r="M29" s="60"/>
      <c r="N29" s="60"/>
      <c r="O29" s="60"/>
    </row>
    <row r="32" spans="2:15" ht="24" customHeight="1" x14ac:dyDescent="0.25">
      <c r="B32" s="14" t="s">
        <v>77</v>
      </c>
      <c r="C32" s="336"/>
      <c r="D32" s="336"/>
      <c r="E32" s="66"/>
      <c r="K32" s="337" t="s">
        <v>78</v>
      </c>
      <c r="L32" s="337"/>
      <c r="M32" s="75" t="s">
        <v>82</v>
      </c>
      <c r="N32" s="68"/>
      <c r="O32" s="67"/>
    </row>
    <row r="33" spans="2:15" x14ac:dyDescent="0.25">
      <c r="B33" s="338" t="s">
        <v>10</v>
      </c>
      <c r="C33" s="338"/>
      <c r="D33" s="339" t="s">
        <v>9</v>
      </c>
      <c r="E33" s="340"/>
      <c r="F33" s="341" t="s">
        <v>8</v>
      </c>
      <c r="G33" s="342"/>
      <c r="H33" s="343" t="s">
        <v>7</v>
      </c>
      <c r="I33" s="344"/>
      <c r="J33" s="345" t="s">
        <v>6</v>
      </c>
      <c r="K33" s="346"/>
      <c r="L33" s="347" t="s">
        <v>5</v>
      </c>
      <c r="M33" s="348"/>
      <c r="N33" s="331" t="s">
        <v>4</v>
      </c>
      <c r="O33" s="332"/>
    </row>
    <row r="34" spans="2:15" x14ac:dyDescent="0.25">
      <c r="B34" s="65" t="s">
        <v>76</v>
      </c>
      <c r="C34" s="64" t="s">
        <v>75</v>
      </c>
      <c r="D34" s="65" t="s">
        <v>76</v>
      </c>
      <c r="E34" s="64" t="s">
        <v>75</v>
      </c>
      <c r="F34" s="65" t="s">
        <v>76</v>
      </c>
      <c r="G34" s="64" t="s">
        <v>75</v>
      </c>
      <c r="H34" s="65" t="s">
        <v>76</v>
      </c>
      <c r="I34" s="64" t="s">
        <v>75</v>
      </c>
      <c r="J34" s="65" t="s">
        <v>76</v>
      </c>
      <c r="K34" s="64" t="s">
        <v>75</v>
      </c>
      <c r="L34" s="65" t="s">
        <v>76</v>
      </c>
      <c r="M34" s="64" t="s">
        <v>75</v>
      </c>
      <c r="N34" s="65" t="s">
        <v>76</v>
      </c>
      <c r="O34" s="64" t="s">
        <v>75</v>
      </c>
    </row>
    <row r="35" spans="2:15" x14ac:dyDescent="0.25">
      <c r="B35" s="62"/>
      <c r="C35" s="62"/>
      <c r="D35" s="62"/>
      <c r="E35" s="62"/>
      <c r="F35" s="62"/>
      <c r="G35" s="62"/>
      <c r="H35" s="62"/>
      <c r="I35" s="62"/>
      <c r="J35" s="62"/>
      <c r="K35" s="62"/>
      <c r="L35" s="62"/>
      <c r="M35" s="62"/>
      <c r="N35" s="62"/>
      <c r="O35" s="61"/>
    </row>
    <row r="36" spans="2:15" x14ac:dyDescent="0.25">
      <c r="B36" s="63" t="s">
        <v>74</v>
      </c>
      <c r="C36" s="58" t="s">
        <v>73</v>
      </c>
      <c r="D36" s="63" t="s">
        <v>74</v>
      </c>
      <c r="E36" s="58" t="s">
        <v>73</v>
      </c>
      <c r="F36" s="63" t="s">
        <v>74</v>
      </c>
      <c r="G36" s="58" t="s">
        <v>73</v>
      </c>
      <c r="H36" s="63" t="s">
        <v>74</v>
      </c>
      <c r="I36" s="58" t="s">
        <v>73</v>
      </c>
      <c r="J36" s="63" t="s">
        <v>74</v>
      </c>
      <c r="K36" s="58" t="s">
        <v>73</v>
      </c>
      <c r="L36" s="63" t="s">
        <v>74</v>
      </c>
      <c r="M36" s="58" t="s">
        <v>73</v>
      </c>
      <c r="N36" s="63" t="s">
        <v>74</v>
      </c>
      <c r="O36" s="58" t="s">
        <v>73</v>
      </c>
    </row>
    <row r="37" spans="2:15" x14ac:dyDescent="0.25">
      <c r="B37" s="62"/>
      <c r="C37" s="62"/>
      <c r="D37" s="62"/>
      <c r="E37" s="62"/>
      <c r="F37" s="62"/>
      <c r="G37" s="62"/>
      <c r="H37" s="62"/>
      <c r="I37" s="62"/>
      <c r="J37" s="62"/>
      <c r="K37" s="62"/>
      <c r="L37" s="62"/>
      <c r="M37" s="62"/>
      <c r="N37" s="62"/>
      <c r="O37" s="61"/>
    </row>
    <row r="38" spans="2:15" s="71" customFormat="1" ht="13.5" x14ac:dyDescent="0.15">
      <c r="B38" s="70" t="s">
        <v>72</v>
      </c>
      <c r="C38" s="70" t="s">
        <v>72</v>
      </c>
      <c r="D38" s="70" t="s">
        <v>72</v>
      </c>
      <c r="E38" s="70" t="s">
        <v>72</v>
      </c>
      <c r="F38" s="70" t="s">
        <v>72</v>
      </c>
      <c r="G38" s="70" t="s">
        <v>72</v>
      </c>
      <c r="H38" s="70" t="s">
        <v>72</v>
      </c>
      <c r="I38" s="70" t="s">
        <v>72</v>
      </c>
      <c r="J38" s="70" t="s">
        <v>72</v>
      </c>
      <c r="K38" s="70" t="s">
        <v>72</v>
      </c>
      <c r="L38" s="70" t="s">
        <v>72</v>
      </c>
      <c r="M38" s="70" t="s">
        <v>72</v>
      </c>
      <c r="N38" s="70" t="s">
        <v>72</v>
      </c>
      <c r="O38" s="70" t="s">
        <v>72</v>
      </c>
    </row>
    <row r="39" spans="2:15" ht="28.5" customHeight="1" x14ac:dyDescent="0.25">
      <c r="B39" s="60"/>
      <c r="C39" s="60"/>
      <c r="D39" s="60"/>
      <c r="E39" s="60"/>
      <c r="F39" s="60"/>
      <c r="G39" s="60"/>
      <c r="H39" s="60"/>
      <c r="I39" s="60"/>
      <c r="J39" s="60"/>
      <c r="K39" s="60"/>
      <c r="L39" s="60"/>
      <c r="M39" s="60"/>
      <c r="N39" s="60"/>
      <c r="O39" s="60"/>
    </row>
    <row r="41" spans="2:15" ht="24" customHeight="1" x14ac:dyDescent="0.25">
      <c r="B41" s="14" t="s">
        <v>77</v>
      </c>
      <c r="C41" s="336"/>
      <c r="D41" s="336"/>
      <c r="E41" s="66"/>
      <c r="K41" s="337" t="s">
        <v>78</v>
      </c>
      <c r="L41" s="337"/>
      <c r="M41" s="75" t="s">
        <v>82</v>
      </c>
      <c r="N41" s="68"/>
      <c r="O41" s="67"/>
    </row>
    <row r="42" spans="2:15" x14ac:dyDescent="0.25">
      <c r="B42" s="338" t="s">
        <v>10</v>
      </c>
      <c r="C42" s="338"/>
      <c r="D42" s="339" t="s">
        <v>9</v>
      </c>
      <c r="E42" s="340"/>
      <c r="F42" s="341" t="s">
        <v>8</v>
      </c>
      <c r="G42" s="342"/>
      <c r="H42" s="343" t="s">
        <v>7</v>
      </c>
      <c r="I42" s="344"/>
      <c r="J42" s="345" t="s">
        <v>6</v>
      </c>
      <c r="K42" s="346"/>
      <c r="L42" s="347" t="s">
        <v>5</v>
      </c>
      <c r="M42" s="348" t="s">
        <v>81</v>
      </c>
      <c r="N42" s="331" t="s">
        <v>4</v>
      </c>
      <c r="O42" s="332"/>
    </row>
    <row r="43" spans="2:15" x14ac:dyDescent="0.25">
      <c r="B43" s="65" t="s">
        <v>76</v>
      </c>
      <c r="C43" s="64" t="s">
        <v>75</v>
      </c>
      <c r="D43" s="65" t="s">
        <v>76</v>
      </c>
      <c r="E43" s="64" t="s">
        <v>75</v>
      </c>
      <c r="F43" s="65" t="s">
        <v>76</v>
      </c>
      <c r="G43" s="64" t="s">
        <v>75</v>
      </c>
      <c r="H43" s="65" t="s">
        <v>76</v>
      </c>
      <c r="I43" s="64" t="s">
        <v>75</v>
      </c>
      <c r="J43" s="65" t="s">
        <v>76</v>
      </c>
      <c r="K43" s="64" t="s">
        <v>75</v>
      </c>
      <c r="L43" s="65" t="s">
        <v>76</v>
      </c>
      <c r="M43" s="64" t="s">
        <v>75</v>
      </c>
      <c r="N43" s="65" t="s">
        <v>76</v>
      </c>
      <c r="O43" s="64" t="s">
        <v>75</v>
      </c>
    </row>
    <row r="44" spans="2:15" s="74" customFormat="1" ht="18" customHeight="1" x14ac:dyDescent="0.25">
      <c r="B44" s="72"/>
      <c r="C44" s="72"/>
      <c r="D44" s="72"/>
      <c r="E44" s="72"/>
      <c r="F44" s="72"/>
      <c r="G44" s="72"/>
      <c r="H44" s="72"/>
      <c r="I44" s="72"/>
      <c r="J44" s="72"/>
      <c r="K44" s="72"/>
      <c r="L44" s="72"/>
      <c r="M44" s="72"/>
      <c r="N44" s="72"/>
      <c r="O44" s="73"/>
    </row>
    <row r="45" spans="2:15" x14ac:dyDescent="0.25">
      <c r="B45" s="63" t="s">
        <v>74</v>
      </c>
      <c r="C45" s="76" t="s">
        <v>73</v>
      </c>
      <c r="D45" s="63" t="s">
        <v>74</v>
      </c>
      <c r="E45" s="76" t="s">
        <v>73</v>
      </c>
      <c r="F45" s="63" t="s">
        <v>74</v>
      </c>
      <c r="G45" s="76" t="s">
        <v>73</v>
      </c>
      <c r="H45" s="63" t="s">
        <v>74</v>
      </c>
      <c r="I45" s="76" t="s">
        <v>73</v>
      </c>
      <c r="J45" s="63" t="s">
        <v>74</v>
      </c>
      <c r="K45" s="76" t="s">
        <v>73</v>
      </c>
      <c r="L45" s="63" t="s">
        <v>74</v>
      </c>
      <c r="M45" s="76" t="s">
        <v>73</v>
      </c>
      <c r="N45" s="63" t="s">
        <v>74</v>
      </c>
      <c r="O45" s="76" t="s">
        <v>73</v>
      </c>
    </row>
    <row r="46" spans="2:15" s="74" customFormat="1" ht="18" customHeight="1" x14ac:dyDescent="0.25">
      <c r="B46" s="72"/>
      <c r="C46" s="72"/>
      <c r="D46" s="72"/>
      <c r="E46" s="72"/>
      <c r="F46" s="72"/>
      <c r="G46" s="72"/>
      <c r="H46" s="72"/>
      <c r="I46" s="72"/>
      <c r="J46" s="72"/>
      <c r="K46" s="72"/>
      <c r="L46" s="72"/>
      <c r="M46" s="72"/>
      <c r="N46" s="72"/>
      <c r="O46" s="73"/>
    </row>
    <row r="47" spans="2:15" s="71" customFormat="1" ht="13.5" x14ac:dyDescent="0.15">
      <c r="B47" s="70" t="s">
        <v>72</v>
      </c>
      <c r="C47" s="70" t="s">
        <v>72</v>
      </c>
      <c r="D47" s="70" t="s">
        <v>72</v>
      </c>
      <c r="E47" s="70" t="s">
        <v>72</v>
      </c>
      <c r="F47" s="70" t="s">
        <v>72</v>
      </c>
      <c r="G47" s="70" t="s">
        <v>72</v>
      </c>
      <c r="H47" s="70" t="s">
        <v>72</v>
      </c>
      <c r="I47" s="70" t="s">
        <v>72</v>
      </c>
      <c r="J47" s="70" t="s">
        <v>72</v>
      </c>
      <c r="K47" s="70" t="s">
        <v>72</v>
      </c>
      <c r="L47" s="70" t="s">
        <v>72</v>
      </c>
      <c r="M47" s="70" t="s">
        <v>72</v>
      </c>
      <c r="N47" s="70" t="s">
        <v>72</v>
      </c>
      <c r="O47" s="70" t="s">
        <v>72</v>
      </c>
    </row>
    <row r="48" spans="2:15" ht="28.5" customHeight="1" x14ac:dyDescent="0.25">
      <c r="B48" s="60"/>
      <c r="C48" s="60"/>
      <c r="D48" s="60"/>
      <c r="E48" s="60"/>
      <c r="F48" s="60"/>
      <c r="G48" s="60"/>
      <c r="H48" s="60"/>
      <c r="I48" s="60"/>
      <c r="J48" s="60"/>
      <c r="K48" s="60"/>
      <c r="L48" s="60"/>
      <c r="M48" s="60"/>
      <c r="N48" s="60"/>
      <c r="O48" s="60"/>
    </row>
    <row r="51" spans="2:15" ht="24" customHeight="1" x14ac:dyDescent="0.25">
      <c r="B51" s="14" t="s">
        <v>77</v>
      </c>
      <c r="C51" s="336"/>
      <c r="D51" s="336"/>
      <c r="E51" s="66"/>
      <c r="K51" s="337" t="s">
        <v>78</v>
      </c>
      <c r="L51" s="337"/>
      <c r="M51" s="75" t="s">
        <v>82</v>
      </c>
      <c r="N51" s="68"/>
      <c r="O51" s="67"/>
    </row>
    <row r="52" spans="2:15" x14ac:dyDescent="0.25">
      <c r="B52" s="338" t="s">
        <v>10</v>
      </c>
      <c r="C52" s="338"/>
      <c r="D52" s="339" t="s">
        <v>9</v>
      </c>
      <c r="E52" s="340"/>
      <c r="F52" s="341" t="s">
        <v>8</v>
      </c>
      <c r="G52" s="342"/>
      <c r="H52" s="343" t="s">
        <v>7</v>
      </c>
      <c r="I52" s="344"/>
      <c r="J52" s="345" t="s">
        <v>6</v>
      </c>
      <c r="K52" s="346"/>
      <c r="L52" s="347" t="s">
        <v>5</v>
      </c>
      <c r="M52" s="348"/>
      <c r="N52" s="331" t="s">
        <v>4</v>
      </c>
      <c r="O52" s="332"/>
    </row>
    <row r="53" spans="2:15" x14ac:dyDescent="0.25">
      <c r="B53" s="65" t="s">
        <v>76</v>
      </c>
      <c r="C53" s="64" t="s">
        <v>75</v>
      </c>
      <c r="D53" s="65" t="s">
        <v>76</v>
      </c>
      <c r="E53" s="64" t="s">
        <v>75</v>
      </c>
      <c r="F53" s="65" t="s">
        <v>76</v>
      </c>
      <c r="G53" s="64" t="s">
        <v>75</v>
      </c>
      <c r="H53" s="65" t="s">
        <v>76</v>
      </c>
      <c r="I53" s="64" t="s">
        <v>75</v>
      </c>
      <c r="J53" s="65" t="s">
        <v>76</v>
      </c>
      <c r="K53" s="64" t="s">
        <v>75</v>
      </c>
      <c r="L53" s="65" t="s">
        <v>76</v>
      </c>
      <c r="M53" s="64" t="s">
        <v>75</v>
      </c>
      <c r="N53" s="65" t="s">
        <v>76</v>
      </c>
      <c r="O53" s="64" t="s">
        <v>75</v>
      </c>
    </row>
    <row r="54" spans="2:15" x14ac:dyDescent="0.25">
      <c r="B54" s="62"/>
      <c r="C54" s="62"/>
      <c r="D54" s="62"/>
      <c r="E54" s="62"/>
      <c r="F54" s="62"/>
      <c r="G54" s="62"/>
      <c r="H54" s="62"/>
      <c r="I54" s="62"/>
      <c r="J54" s="62"/>
      <c r="K54" s="62"/>
      <c r="L54" s="62"/>
      <c r="M54" s="62"/>
      <c r="N54" s="62"/>
      <c r="O54" s="61"/>
    </row>
    <row r="55" spans="2:15" x14ac:dyDescent="0.25">
      <c r="B55" s="63" t="s">
        <v>74</v>
      </c>
      <c r="C55" s="76" t="s">
        <v>73</v>
      </c>
      <c r="D55" s="63" t="s">
        <v>74</v>
      </c>
      <c r="E55" s="76" t="s">
        <v>73</v>
      </c>
      <c r="F55" s="63" t="s">
        <v>74</v>
      </c>
      <c r="G55" s="76" t="s">
        <v>73</v>
      </c>
      <c r="H55" s="63" t="s">
        <v>74</v>
      </c>
      <c r="I55" s="76" t="s">
        <v>73</v>
      </c>
      <c r="J55" s="63" t="s">
        <v>74</v>
      </c>
      <c r="K55" s="76" t="s">
        <v>73</v>
      </c>
      <c r="L55" s="63" t="s">
        <v>74</v>
      </c>
      <c r="M55" s="76" t="s">
        <v>73</v>
      </c>
      <c r="N55" s="63" t="s">
        <v>74</v>
      </c>
      <c r="O55" s="76" t="s">
        <v>73</v>
      </c>
    </row>
    <row r="56" spans="2:15" x14ac:dyDescent="0.25">
      <c r="B56" s="62"/>
      <c r="C56" s="62"/>
      <c r="D56" s="62"/>
      <c r="E56" s="62"/>
      <c r="F56" s="62"/>
      <c r="G56" s="62"/>
      <c r="H56" s="62"/>
      <c r="I56" s="62"/>
      <c r="J56" s="62"/>
      <c r="K56" s="62"/>
      <c r="L56" s="62"/>
      <c r="M56" s="62"/>
      <c r="N56" s="62"/>
      <c r="O56" s="61"/>
    </row>
    <row r="57" spans="2:15" x14ac:dyDescent="0.25">
      <c r="B57" s="76" t="s">
        <v>72</v>
      </c>
      <c r="C57" s="76" t="s">
        <v>72</v>
      </c>
      <c r="D57" s="76" t="s">
        <v>72</v>
      </c>
      <c r="E57" s="76" t="s">
        <v>72</v>
      </c>
      <c r="F57" s="76" t="s">
        <v>72</v>
      </c>
      <c r="G57" s="76" t="s">
        <v>72</v>
      </c>
      <c r="H57" s="76" t="s">
        <v>72</v>
      </c>
      <c r="I57" s="76" t="s">
        <v>72</v>
      </c>
      <c r="J57" s="76" t="s">
        <v>72</v>
      </c>
      <c r="K57" s="76" t="s">
        <v>72</v>
      </c>
      <c r="L57" s="76" t="s">
        <v>72</v>
      </c>
      <c r="M57" s="76" t="s">
        <v>72</v>
      </c>
      <c r="N57" s="76" t="s">
        <v>72</v>
      </c>
      <c r="O57" s="76" t="s">
        <v>72</v>
      </c>
    </row>
    <row r="58" spans="2:15" ht="28.5" customHeight="1" x14ac:dyDescent="0.25">
      <c r="B58" s="60"/>
      <c r="C58" s="60"/>
      <c r="D58" s="60"/>
      <c r="E58" s="60"/>
      <c r="F58" s="60"/>
      <c r="G58" s="60"/>
      <c r="H58" s="60"/>
      <c r="I58" s="60"/>
      <c r="J58" s="60"/>
      <c r="K58" s="60"/>
      <c r="L58" s="60"/>
      <c r="M58" s="60"/>
      <c r="N58" s="60"/>
      <c r="O58" s="60"/>
    </row>
    <row r="61" spans="2:15" ht="24" customHeight="1" x14ac:dyDescent="0.25">
      <c r="B61" s="14" t="s">
        <v>77</v>
      </c>
      <c r="C61" s="336"/>
      <c r="D61" s="336"/>
      <c r="E61" s="66"/>
      <c r="K61" s="337" t="s">
        <v>78</v>
      </c>
      <c r="L61" s="337"/>
      <c r="M61" s="75" t="s">
        <v>82</v>
      </c>
      <c r="N61" s="68"/>
      <c r="O61" s="67"/>
    </row>
    <row r="62" spans="2:15" x14ac:dyDescent="0.25">
      <c r="B62" s="338" t="s">
        <v>10</v>
      </c>
      <c r="C62" s="338"/>
      <c r="D62" s="339" t="s">
        <v>9</v>
      </c>
      <c r="E62" s="340"/>
      <c r="F62" s="341" t="s">
        <v>8</v>
      </c>
      <c r="G62" s="342"/>
      <c r="H62" s="343" t="s">
        <v>7</v>
      </c>
      <c r="I62" s="344"/>
      <c r="J62" s="345" t="s">
        <v>6</v>
      </c>
      <c r="K62" s="346"/>
      <c r="L62" s="347" t="s">
        <v>5</v>
      </c>
      <c r="M62" s="348"/>
      <c r="N62" s="331" t="s">
        <v>4</v>
      </c>
      <c r="O62" s="332"/>
    </row>
    <row r="63" spans="2:15" x14ac:dyDescent="0.25">
      <c r="B63" s="65" t="s">
        <v>76</v>
      </c>
      <c r="C63" s="64" t="s">
        <v>75</v>
      </c>
      <c r="D63" s="65" t="s">
        <v>76</v>
      </c>
      <c r="E63" s="64" t="s">
        <v>75</v>
      </c>
      <c r="F63" s="65" t="s">
        <v>76</v>
      </c>
      <c r="G63" s="64" t="s">
        <v>75</v>
      </c>
      <c r="H63" s="65" t="s">
        <v>76</v>
      </c>
      <c r="I63" s="64" t="s">
        <v>75</v>
      </c>
      <c r="J63" s="65" t="s">
        <v>76</v>
      </c>
      <c r="K63" s="64" t="s">
        <v>75</v>
      </c>
      <c r="L63" s="65" t="s">
        <v>76</v>
      </c>
      <c r="M63" s="64" t="s">
        <v>75</v>
      </c>
      <c r="N63" s="65" t="s">
        <v>76</v>
      </c>
      <c r="O63" s="64" t="s">
        <v>75</v>
      </c>
    </row>
    <row r="64" spans="2:15" x14ac:dyDescent="0.25">
      <c r="B64" s="62"/>
      <c r="C64" s="62"/>
      <c r="D64" s="62"/>
      <c r="E64" s="62"/>
      <c r="F64" s="62"/>
      <c r="G64" s="62"/>
      <c r="H64" s="62"/>
      <c r="I64" s="62"/>
      <c r="J64" s="62"/>
      <c r="K64" s="62"/>
      <c r="L64" s="62"/>
      <c r="M64" s="62"/>
      <c r="N64" s="62"/>
      <c r="O64" s="61"/>
    </row>
    <row r="65" spans="2:15" x14ac:dyDescent="0.25">
      <c r="B65" s="63" t="s">
        <v>74</v>
      </c>
      <c r="C65" s="76" t="s">
        <v>73</v>
      </c>
      <c r="D65" s="63" t="s">
        <v>74</v>
      </c>
      <c r="E65" s="76" t="s">
        <v>73</v>
      </c>
      <c r="F65" s="63" t="s">
        <v>74</v>
      </c>
      <c r="G65" s="76" t="s">
        <v>73</v>
      </c>
      <c r="H65" s="63" t="s">
        <v>74</v>
      </c>
      <c r="I65" s="76" t="s">
        <v>73</v>
      </c>
      <c r="J65" s="63" t="s">
        <v>74</v>
      </c>
      <c r="K65" s="76" t="s">
        <v>73</v>
      </c>
      <c r="L65" s="63" t="s">
        <v>74</v>
      </c>
      <c r="M65" s="76" t="s">
        <v>73</v>
      </c>
      <c r="N65" s="63" t="s">
        <v>74</v>
      </c>
      <c r="O65" s="76" t="s">
        <v>73</v>
      </c>
    </row>
    <row r="66" spans="2:15" x14ac:dyDescent="0.25">
      <c r="B66" s="62"/>
      <c r="C66" s="62"/>
      <c r="D66" s="62"/>
      <c r="E66" s="62"/>
      <c r="F66" s="62"/>
      <c r="G66" s="62"/>
      <c r="H66" s="62"/>
      <c r="I66" s="62"/>
      <c r="J66" s="62"/>
      <c r="K66" s="62"/>
      <c r="L66" s="62"/>
      <c r="M66" s="62"/>
      <c r="N66" s="62"/>
      <c r="O66" s="61"/>
    </row>
    <row r="67" spans="2:15" s="71" customFormat="1" ht="13.5" x14ac:dyDescent="0.15">
      <c r="B67" s="70" t="s">
        <v>72</v>
      </c>
      <c r="C67" s="70" t="s">
        <v>72</v>
      </c>
      <c r="D67" s="70" t="s">
        <v>72</v>
      </c>
      <c r="E67" s="70" t="s">
        <v>72</v>
      </c>
      <c r="F67" s="70" t="s">
        <v>72</v>
      </c>
      <c r="G67" s="70" t="s">
        <v>72</v>
      </c>
      <c r="H67" s="70" t="s">
        <v>72</v>
      </c>
      <c r="I67" s="70" t="s">
        <v>72</v>
      </c>
      <c r="J67" s="70" t="s">
        <v>72</v>
      </c>
      <c r="K67" s="70" t="s">
        <v>72</v>
      </c>
      <c r="L67" s="70" t="s">
        <v>72</v>
      </c>
      <c r="M67" s="70" t="s">
        <v>72</v>
      </c>
      <c r="N67" s="70" t="s">
        <v>72</v>
      </c>
      <c r="O67" s="70" t="s">
        <v>72</v>
      </c>
    </row>
    <row r="68" spans="2:15" ht="28.5" customHeight="1" x14ac:dyDescent="0.25">
      <c r="B68" s="60"/>
      <c r="C68" s="60"/>
      <c r="D68" s="60"/>
      <c r="E68" s="60"/>
      <c r="F68" s="60"/>
      <c r="G68" s="60"/>
      <c r="H68" s="60"/>
      <c r="I68" s="60"/>
      <c r="J68" s="60"/>
      <c r="K68" s="60"/>
      <c r="L68" s="60"/>
      <c r="M68" s="60"/>
      <c r="N68" s="60"/>
      <c r="O68" s="60"/>
    </row>
    <row r="70" spans="2:15" ht="24" customHeight="1" x14ac:dyDescent="0.25">
      <c r="B70" s="14" t="s">
        <v>77</v>
      </c>
      <c r="C70" s="336"/>
      <c r="D70" s="336"/>
      <c r="E70" s="66"/>
      <c r="K70" s="337" t="s">
        <v>78</v>
      </c>
      <c r="L70" s="337"/>
      <c r="M70" s="75" t="s">
        <v>82</v>
      </c>
      <c r="N70" s="68"/>
      <c r="O70" s="67"/>
    </row>
    <row r="71" spans="2:15" x14ac:dyDescent="0.25">
      <c r="B71" s="338" t="s">
        <v>10</v>
      </c>
      <c r="C71" s="338"/>
      <c r="D71" s="339" t="s">
        <v>9</v>
      </c>
      <c r="E71" s="340"/>
      <c r="F71" s="341" t="s">
        <v>8</v>
      </c>
      <c r="G71" s="342"/>
      <c r="H71" s="343" t="s">
        <v>7</v>
      </c>
      <c r="I71" s="344"/>
      <c r="J71" s="345" t="s">
        <v>6</v>
      </c>
      <c r="K71" s="346"/>
      <c r="L71" s="347" t="s">
        <v>5</v>
      </c>
      <c r="M71" s="348" t="s">
        <v>81</v>
      </c>
      <c r="N71" s="331" t="s">
        <v>4</v>
      </c>
      <c r="O71" s="332"/>
    </row>
    <row r="72" spans="2:15" x14ac:dyDescent="0.25">
      <c r="B72" s="65" t="s">
        <v>76</v>
      </c>
      <c r="C72" s="64" t="s">
        <v>75</v>
      </c>
      <c r="D72" s="65" t="s">
        <v>76</v>
      </c>
      <c r="E72" s="64" t="s">
        <v>75</v>
      </c>
      <c r="F72" s="65" t="s">
        <v>76</v>
      </c>
      <c r="G72" s="64" t="s">
        <v>75</v>
      </c>
      <c r="H72" s="65" t="s">
        <v>76</v>
      </c>
      <c r="I72" s="64" t="s">
        <v>75</v>
      </c>
      <c r="J72" s="65" t="s">
        <v>76</v>
      </c>
      <c r="K72" s="64" t="s">
        <v>75</v>
      </c>
      <c r="L72" s="65" t="s">
        <v>76</v>
      </c>
      <c r="M72" s="64" t="s">
        <v>75</v>
      </c>
      <c r="N72" s="65" t="s">
        <v>76</v>
      </c>
      <c r="O72" s="64" t="s">
        <v>75</v>
      </c>
    </row>
    <row r="73" spans="2:15" s="74" customFormat="1" ht="18" customHeight="1" x14ac:dyDescent="0.25">
      <c r="B73" s="72"/>
      <c r="C73" s="72"/>
      <c r="D73" s="72"/>
      <c r="E73" s="72"/>
      <c r="F73" s="72"/>
      <c r="G73" s="72"/>
      <c r="H73" s="72"/>
      <c r="I73" s="72"/>
      <c r="J73" s="72"/>
      <c r="K73" s="72"/>
      <c r="L73" s="72"/>
      <c r="M73" s="72"/>
      <c r="N73" s="72"/>
      <c r="O73" s="73"/>
    </row>
    <row r="74" spans="2:15" x14ac:dyDescent="0.25">
      <c r="B74" s="63" t="s">
        <v>74</v>
      </c>
      <c r="C74" s="76" t="s">
        <v>73</v>
      </c>
      <c r="D74" s="63" t="s">
        <v>74</v>
      </c>
      <c r="E74" s="76" t="s">
        <v>73</v>
      </c>
      <c r="F74" s="63" t="s">
        <v>74</v>
      </c>
      <c r="G74" s="76" t="s">
        <v>73</v>
      </c>
      <c r="H74" s="63" t="s">
        <v>74</v>
      </c>
      <c r="I74" s="76" t="s">
        <v>73</v>
      </c>
      <c r="J74" s="63" t="s">
        <v>74</v>
      </c>
      <c r="K74" s="76" t="s">
        <v>73</v>
      </c>
      <c r="L74" s="63" t="s">
        <v>74</v>
      </c>
      <c r="M74" s="76" t="s">
        <v>73</v>
      </c>
      <c r="N74" s="63" t="s">
        <v>74</v>
      </c>
      <c r="O74" s="76" t="s">
        <v>73</v>
      </c>
    </row>
    <row r="75" spans="2:15" s="74" customFormat="1" ht="18" customHeight="1" x14ac:dyDescent="0.25">
      <c r="B75" s="72"/>
      <c r="C75" s="72"/>
      <c r="D75" s="72"/>
      <c r="E75" s="72"/>
      <c r="F75" s="72"/>
      <c r="G75" s="72"/>
      <c r="H75" s="72"/>
      <c r="I75" s="72"/>
      <c r="J75" s="72"/>
      <c r="K75" s="72"/>
      <c r="L75" s="72"/>
      <c r="M75" s="72"/>
      <c r="N75" s="72"/>
      <c r="O75" s="73"/>
    </row>
    <row r="76" spans="2:15" s="71" customFormat="1" ht="13.5" x14ac:dyDescent="0.15">
      <c r="B76" s="70" t="s">
        <v>72</v>
      </c>
      <c r="C76" s="70" t="s">
        <v>72</v>
      </c>
      <c r="D76" s="70" t="s">
        <v>72</v>
      </c>
      <c r="E76" s="70" t="s">
        <v>72</v>
      </c>
      <c r="F76" s="70" t="s">
        <v>72</v>
      </c>
      <c r="G76" s="70" t="s">
        <v>72</v>
      </c>
      <c r="H76" s="70" t="s">
        <v>72</v>
      </c>
      <c r="I76" s="70" t="s">
        <v>72</v>
      </c>
      <c r="J76" s="70" t="s">
        <v>72</v>
      </c>
      <c r="K76" s="70" t="s">
        <v>72</v>
      </c>
      <c r="L76" s="70" t="s">
        <v>72</v>
      </c>
      <c r="M76" s="70" t="s">
        <v>72</v>
      </c>
      <c r="N76" s="70" t="s">
        <v>72</v>
      </c>
      <c r="O76" s="70" t="s">
        <v>72</v>
      </c>
    </row>
    <row r="77" spans="2:15" ht="28.5" customHeight="1" x14ac:dyDescent="0.25">
      <c r="B77" s="60"/>
      <c r="C77" s="60"/>
      <c r="D77" s="60"/>
      <c r="E77" s="60"/>
      <c r="F77" s="60"/>
      <c r="G77" s="60"/>
      <c r="H77" s="60"/>
      <c r="I77" s="60"/>
      <c r="J77" s="60"/>
      <c r="K77" s="60"/>
      <c r="L77" s="60"/>
      <c r="M77" s="60"/>
      <c r="N77" s="60"/>
      <c r="O77" s="60"/>
    </row>
    <row r="80" spans="2:15" ht="24" customHeight="1" x14ac:dyDescent="0.25">
      <c r="B80" s="14" t="s">
        <v>77</v>
      </c>
      <c r="C80" s="336"/>
      <c r="D80" s="336"/>
      <c r="E80" s="66"/>
      <c r="K80" s="337" t="s">
        <v>78</v>
      </c>
      <c r="L80" s="337"/>
      <c r="M80" s="75" t="s">
        <v>82</v>
      </c>
      <c r="N80" s="68"/>
      <c r="O80" s="67"/>
    </row>
    <row r="81" spans="2:15" x14ac:dyDescent="0.25">
      <c r="B81" s="338" t="s">
        <v>10</v>
      </c>
      <c r="C81" s="338"/>
      <c r="D81" s="339" t="s">
        <v>9</v>
      </c>
      <c r="E81" s="340"/>
      <c r="F81" s="341" t="s">
        <v>8</v>
      </c>
      <c r="G81" s="342"/>
      <c r="H81" s="343" t="s">
        <v>7</v>
      </c>
      <c r="I81" s="344"/>
      <c r="J81" s="345" t="s">
        <v>6</v>
      </c>
      <c r="K81" s="346"/>
      <c r="L81" s="347" t="s">
        <v>5</v>
      </c>
      <c r="M81" s="348"/>
      <c r="N81" s="331" t="s">
        <v>4</v>
      </c>
      <c r="O81" s="332"/>
    </row>
    <row r="82" spans="2:15" x14ac:dyDescent="0.25">
      <c r="B82" s="65" t="s">
        <v>76</v>
      </c>
      <c r="C82" s="64" t="s">
        <v>75</v>
      </c>
      <c r="D82" s="65" t="s">
        <v>76</v>
      </c>
      <c r="E82" s="64" t="s">
        <v>75</v>
      </c>
      <c r="F82" s="65" t="s">
        <v>76</v>
      </c>
      <c r="G82" s="64" t="s">
        <v>75</v>
      </c>
      <c r="H82" s="65" t="s">
        <v>76</v>
      </c>
      <c r="I82" s="64" t="s">
        <v>75</v>
      </c>
      <c r="J82" s="65" t="s">
        <v>76</v>
      </c>
      <c r="K82" s="64" t="s">
        <v>75</v>
      </c>
      <c r="L82" s="65" t="s">
        <v>76</v>
      </c>
      <c r="M82" s="64" t="s">
        <v>75</v>
      </c>
      <c r="N82" s="65" t="s">
        <v>76</v>
      </c>
      <c r="O82" s="64" t="s">
        <v>75</v>
      </c>
    </row>
    <row r="83" spans="2:15" x14ac:dyDescent="0.25">
      <c r="B83" s="62"/>
      <c r="C83" s="62"/>
      <c r="D83" s="62"/>
      <c r="E83" s="62"/>
      <c r="F83" s="62"/>
      <c r="G83" s="62"/>
      <c r="H83" s="62"/>
      <c r="I83" s="62"/>
      <c r="J83" s="62"/>
      <c r="K83" s="62"/>
      <c r="L83" s="62"/>
      <c r="M83" s="62"/>
      <c r="N83" s="62"/>
      <c r="O83" s="61"/>
    </row>
    <row r="84" spans="2:15" x14ac:dyDescent="0.25">
      <c r="B84" s="63" t="s">
        <v>74</v>
      </c>
      <c r="C84" s="76" t="s">
        <v>73</v>
      </c>
      <c r="D84" s="63" t="s">
        <v>74</v>
      </c>
      <c r="E84" s="76" t="s">
        <v>73</v>
      </c>
      <c r="F84" s="63" t="s">
        <v>74</v>
      </c>
      <c r="G84" s="76" t="s">
        <v>73</v>
      </c>
      <c r="H84" s="63" t="s">
        <v>74</v>
      </c>
      <c r="I84" s="76" t="s">
        <v>73</v>
      </c>
      <c r="J84" s="63" t="s">
        <v>74</v>
      </c>
      <c r="K84" s="76" t="s">
        <v>73</v>
      </c>
      <c r="L84" s="63" t="s">
        <v>74</v>
      </c>
      <c r="M84" s="76" t="s">
        <v>73</v>
      </c>
      <c r="N84" s="63" t="s">
        <v>74</v>
      </c>
      <c r="O84" s="76" t="s">
        <v>73</v>
      </c>
    </row>
    <row r="85" spans="2:15" x14ac:dyDescent="0.25">
      <c r="B85" s="62"/>
      <c r="C85" s="62"/>
      <c r="D85" s="62"/>
      <c r="E85" s="62"/>
      <c r="F85" s="62"/>
      <c r="G85" s="62"/>
      <c r="H85" s="62"/>
      <c r="I85" s="62"/>
      <c r="J85" s="62"/>
      <c r="K85" s="62"/>
      <c r="L85" s="62"/>
      <c r="M85" s="62"/>
      <c r="N85" s="62"/>
      <c r="O85" s="61"/>
    </row>
    <row r="86" spans="2:15" x14ac:dyDescent="0.25">
      <c r="B86" s="76" t="s">
        <v>72</v>
      </c>
      <c r="C86" s="76" t="s">
        <v>72</v>
      </c>
      <c r="D86" s="76" t="s">
        <v>72</v>
      </c>
      <c r="E86" s="76" t="s">
        <v>72</v>
      </c>
      <c r="F86" s="76" t="s">
        <v>72</v>
      </c>
      <c r="G86" s="76" t="s">
        <v>72</v>
      </c>
      <c r="H86" s="76" t="s">
        <v>72</v>
      </c>
      <c r="I86" s="76" t="s">
        <v>72</v>
      </c>
      <c r="J86" s="76" t="s">
        <v>72</v>
      </c>
      <c r="K86" s="76" t="s">
        <v>72</v>
      </c>
      <c r="L86" s="76" t="s">
        <v>72</v>
      </c>
      <c r="M86" s="76" t="s">
        <v>72</v>
      </c>
      <c r="N86" s="76" t="s">
        <v>72</v>
      </c>
      <c r="O86" s="76" t="s">
        <v>72</v>
      </c>
    </row>
    <row r="87" spans="2:15" ht="28.5" customHeight="1" x14ac:dyDescent="0.25">
      <c r="B87" s="60"/>
      <c r="C87" s="60"/>
      <c r="D87" s="60"/>
      <c r="E87" s="60"/>
      <c r="F87" s="60"/>
      <c r="G87" s="60"/>
      <c r="H87" s="60"/>
      <c r="I87" s="60"/>
      <c r="J87" s="60"/>
      <c r="K87" s="60"/>
      <c r="L87" s="60"/>
      <c r="M87" s="60"/>
      <c r="N87" s="60"/>
      <c r="O87" s="60"/>
    </row>
    <row r="90" spans="2:15" ht="24" customHeight="1" x14ac:dyDescent="0.25">
      <c r="B90" s="14" t="s">
        <v>77</v>
      </c>
      <c r="C90" s="336"/>
      <c r="D90" s="336"/>
      <c r="E90" s="66"/>
      <c r="K90" s="337" t="s">
        <v>78</v>
      </c>
      <c r="L90" s="337"/>
      <c r="M90" s="75" t="s">
        <v>82</v>
      </c>
      <c r="N90" s="68"/>
      <c r="O90" s="67"/>
    </row>
    <row r="91" spans="2:15" x14ac:dyDescent="0.25">
      <c r="B91" s="338" t="s">
        <v>10</v>
      </c>
      <c r="C91" s="338"/>
      <c r="D91" s="339" t="s">
        <v>9</v>
      </c>
      <c r="E91" s="340"/>
      <c r="F91" s="341" t="s">
        <v>8</v>
      </c>
      <c r="G91" s="342"/>
      <c r="H91" s="343" t="s">
        <v>7</v>
      </c>
      <c r="I91" s="344"/>
      <c r="J91" s="345" t="s">
        <v>6</v>
      </c>
      <c r="K91" s="346"/>
      <c r="L91" s="347" t="s">
        <v>5</v>
      </c>
      <c r="M91" s="348"/>
      <c r="N91" s="331" t="s">
        <v>4</v>
      </c>
      <c r="O91" s="332"/>
    </row>
    <row r="92" spans="2:15" x14ac:dyDescent="0.25">
      <c r="B92" s="65" t="s">
        <v>76</v>
      </c>
      <c r="C92" s="64" t="s">
        <v>75</v>
      </c>
      <c r="D92" s="65" t="s">
        <v>76</v>
      </c>
      <c r="E92" s="64" t="s">
        <v>75</v>
      </c>
      <c r="F92" s="65" t="s">
        <v>76</v>
      </c>
      <c r="G92" s="64" t="s">
        <v>75</v>
      </c>
      <c r="H92" s="65" t="s">
        <v>76</v>
      </c>
      <c r="I92" s="64" t="s">
        <v>75</v>
      </c>
      <c r="J92" s="65" t="s">
        <v>76</v>
      </c>
      <c r="K92" s="64" t="s">
        <v>75</v>
      </c>
      <c r="L92" s="65" t="s">
        <v>76</v>
      </c>
      <c r="M92" s="64" t="s">
        <v>75</v>
      </c>
      <c r="N92" s="65" t="s">
        <v>76</v>
      </c>
      <c r="O92" s="64" t="s">
        <v>75</v>
      </c>
    </row>
    <row r="93" spans="2:15" x14ac:dyDescent="0.25">
      <c r="B93" s="62"/>
      <c r="C93" s="62"/>
      <c r="D93" s="62"/>
      <c r="E93" s="62"/>
      <c r="F93" s="62"/>
      <c r="G93" s="62"/>
      <c r="H93" s="62"/>
      <c r="I93" s="62"/>
      <c r="J93" s="62"/>
      <c r="K93" s="62"/>
      <c r="L93" s="62"/>
      <c r="M93" s="62"/>
      <c r="N93" s="62"/>
      <c r="O93" s="61"/>
    </row>
    <row r="94" spans="2:15" x14ac:dyDescent="0.25">
      <c r="B94" s="63" t="s">
        <v>74</v>
      </c>
      <c r="C94" s="76" t="s">
        <v>73</v>
      </c>
      <c r="D94" s="63" t="s">
        <v>74</v>
      </c>
      <c r="E94" s="76" t="s">
        <v>73</v>
      </c>
      <c r="F94" s="63" t="s">
        <v>74</v>
      </c>
      <c r="G94" s="76" t="s">
        <v>73</v>
      </c>
      <c r="H94" s="63" t="s">
        <v>74</v>
      </c>
      <c r="I94" s="76" t="s">
        <v>73</v>
      </c>
      <c r="J94" s="63" t="s">
        <v>74</v>
      </c>
      <c r="K94" s="76" t="s">
        <v>73</v>
      </c>
      <c r="L94" s="63" t="s">
        <v>74</v>
      </c>
      <c r="M94" s="76" t="s">
        <v>73</v>
      </c>
      <c r="N94" s="63" t="s">
        <v>74</v>
      </c>
      <c r="O94" s="76" t="s">
        <v>73</v>
      </c>
    </row>
    <row r="95" spans="2:15" x14ac:dyDescent="0.25">
      <c r="B95" s="62"/>
      <c r="C95" s="62"/>
      <c r="D95" s="62"/>
      <c r="E95" s="62"/>
      <c r="F95" s="62"/>
      <c r="G95" s="62"/>
      <c r="H95" s="62"/>
      <c r="I95" s="62"/>
      <c r="J95" s="62"/>
      <c r="K95" s="62"/>
      <c r="L95" s="62"/>
      <c r="M95" s="62"/>
      <c r="N95" s="62"/>
      <c r="O95" s="61"/>
    </row>
    <row r="96" spans="2:15" s="71" customFormat="1" ht="13.5" x14ac:dyDescent="0.15">
      <c r="B96" s="70" t="s">
        <v>72</v>
      </c>
      <c r="C96" s="70" t="s">
        <v>72</v>
      </c>
      <c r="D96" s="70" t="s">
        <v>72</v>
      </c>
      <c r="E96" s="70" t="s">
        <v>72</v>
      </c>
      <c r="F96" s="70" t="s">
        <v>72</v>
      </c>
      <c r="G96" s="70" t="s">
        <v>72</v>
      </c>
      <c r="H96" s="70" t="s">
        <v>72</v>
      </c>
      <c r="I96" s="70" t="s">
        <v>72</v>
      </c>
      <c r="J96" s="70" t="s">
        <v>72</v>
      </c>
      <c r="K96" s="70" t="s">
        <v>72</v>
      </c>
      <c r="L96" s="70" t="s">
        <v>72</v>
      </c>
      <c r="M96" s="70" t="s">
        <v>72</v>
      </c>
      <c r="N96" s="70" t="s">
        <v>72</v>
      </c>
      <c r="O96" s="70" t="s">
        <v>72</v>
      </c>
    </row>
    <row r="97" spans="2:15" ht="28.5" customHeight="1" x14ac:dyDescent="0.25">
      <c r="B97" s="60"/>
      <c r="C97" s="60"/>
      <c r="D97" s="60"/>
      <c r="E97" s="60"/>
      <c r="F97" s="60"/>
      <c r="G97" s="60"/>
      <c r="H97" s="60"/>
      <c r="I97" s="60"/>
      <c r="J97" s="60"/>
      <c r="K97" s="60"/>
      <c r="L97" s="60"/>
      <c r="M97" s="60"/>
      <c r="N97" s="60"/>
      <c r="O97" s="60"/>
    </row>
    <row r="99" spans="2:15" ht="24" customHeight="1" x14ac:dyDescent="0.25">
      <c r="B99" s="14" t="s">
        <v>77</v>
      </c>
      <c r="C99" s="336"/>
      <c r="D99" s="336"/>
      <c r="E99" s="66"/>
      <c r="K99" s="337" t="s">
        <v>78</v>
      </c>
      <c r="L99" s="337"/>
      <c r="M99" s="75" t="s">
        <v>82</v>
      </c>
      <c r="N99" s="68"/>
      <c r="O99" s="67"/>
    </row>
    <row r="100" spans="2:15" x14ac:dyDescent="0.25">
      <c r="B100" s="338" t="s">
        <v>10</v>
      </c>
      <c r="C100" s="338"/>
      <c r="D100" s="339" t="s">
        <v>9</v>
      </c>
      <c r="E100" s="340"/>
      <c r="F100" s="341" t="s">
        <v>8</v>
      </c>
      <c r="G100" s="342"/>
      <c r="H100" s="343" t="s">
        <v>7</v>
      </c>
      <c r="I100" s="344"/>
      <c r="J100" s="345" t="s">
        <v>6</v>
      </c>
      <c r="K100" s="346"/>
      <c r="L100" s="347" t="s">
        <v>5</v>
      </c>
      <c r="M100" s="348" t="s">
        <v>81</v>
      </c>
      <c r="N100" s="331" t="s">
        <v>4</v>
      </c>
      <c r="O100" s="332"/>
    </row>
    <row r="101" spans="2:15" x14ac:dyDescent="0.25">
      <c r="B101" s="65" t="s">
        <v>76</v>
      </c>
      <c r="C101" s="64" t="s">
        <v>75</v>
      </c>
      <c r="D101" s="65" t="s">
        <v>76</v>
      </c>
      <c r="E101" s="64" t="s">
        <v>75</v>
      </c>
      <c r="F101" s="65" t="s">
        <v>76</v>
      </c>
      <c r="G101" s="64" t="s">
        <v>75</v>
      </c>
      <c r="H101" s="65" t="s">
        <v>76</v>
      </c>
      <c r="I101" s="64" t="s">
        <v>75</v>
      </c>
      <c r="J101" s="65" t="s">
        <v>76</v>
      </c>
      <c r="K101" s="64" t="s">
        <v>75</v>
      </c>
      <c r="L101" s="65" t="s">
        <v>76</v>
      </c>
      <c r="M101" s="64" t="s">
        <v>75</v>
      </c>
      <c r="N101" s="65" t="s">
        <v>76</v>
      </c>
      <c r="O101" s="64" t="s">
        <v>75</v>
      </c>
    </row>
    <row r="102" spans="2:15" s="74" customFormat="1" ht="18" customHeight="1" x14ac:dyDescent="0.25">
      <c r="B102" s="72"/>
      <c r="C102" s="72"/>
      <c r="D102" s="72"/>
      <c r="E102" s="72"/>
      <c r="F102" s="72"/>
      <c r="G102" s="72"/>
      <c r="H102" s="72"/>
      <c r="I102" s="72"/>
      <c r="J102" s="72"/>
      <c r="K102" s="72"/>
      <c r="L102" s="72"/>
      <c r="M102" s="72"/>
      <c r="N102" s="72"/>
      <c r="O102" s="73"/>
    </row>
    <row r="103" spans="2:15" x14ac:dyDescent="0.25">
      <c r="B103" s="63" t="s">
        <v>74</v>
      </c>
      <c r="C103" s="76" t="s">
        <v>73</v>
      </c>
      <c r="D103" s="63" t="s">
        <v>74</v>
      </c>
      <c r="E103" s="76" t="s">
        <v>73</v>
      </c>
      <c r="F103" s="63" t="s">
        <v>74</v>
      </c>
      <c r="G103" s="76" t="s">
        <v>73</v>
      </c>
      <c r="H103" s="63" t="s">
        <v>74</v>
      </c>
      <c r="I103" s="76" t="s">
        <v>73</v>
      </c>
      <c r="J103" s="63" t="s">
        <v>74</v>
      </c>
      <c r="K103" s="76" t="s">
        <v>73</v>
      </c>
      <c r="L103" s="63" t="s">
        <v>74</v>
      </c>
      <c r="M103" s="76" t="s">
        <v>73</v>
      </c>
      <c r="N103" s="63" t="s">
        <v>74</v>
      </c>
      <c r="O103" s="76" t="s">
        <v>73</v>
      </c>
    </row>
    <row r="104" spans="2:15" s="74" customFormat="1" ht="18" customHeight="1" x14ac:dyDescent="0.25">
      <c r="B104" s="72"/>
      <c r="C104" s="72"/>
      <c r="D104" s="72"/>
      <c r="E104" s="72"/>
      <c r="F104" s="72"/>
      <c r="G104" s="72"/>
      <c r="H104" s="72"/>
      <c r="I104" s="72"/>
      <c r="J104" s="72"/>
      <c r="K104" s="72"/>
      <c r="L104" s="72"/>
      <c r="M104" s="72"/>
      <c r="N104" s="72"/>
      <c r="O104" s="73"/>
    </row>
    <row r="105" spans="2:15" s="71" customFormat="1" ht="13.5" x14ac:dyDescent="0.15">
      <c r="B105" s="70" t="s">
        <v>72</v>
      </c>
      <c r="C105" s="70" t="s">
        <v>72</v>
      </c>
      <c r="D105" s="70" t="s">
        <v>72</v>
      </c>
      <c r="E105" s="70" t="s">
        <v>72</v>
      </c>
      <c r="F105" s="70" t="s">
        <v>72</v>
      </c>
      <c r="G105" s="70" t="s">
        <v>72</v>
      </c>
      <c r="H105" s="70" t="s">
        <v>72</v>
      </c>
      <c r="I105" s="70" t="s">
        <v>72</v>
      </c>
      <c r="J105" s="70" t="s">
        <v>72</v>
      </c>
      <c r="K105" s="70" t="s">
        <v>72</v>
      </c>
      <c r="L105" s="70" t="s">
        <v>72</v>
      </c>
      <c r="M105" s="70" t="s">
        <v>72</v>
      </c>
      <c r="N105" s="70" t="s">
        <v>72</v>
      </c>
      <c r="O105" s="70" t="s">
        <v>72</v>
      </c>
    </row>
    <row r="106" spans="2:15" ht="28.5" customHeight="1" x14ac:dyDescent="0.25">
      <c r="B106" s="60"/>
      <c r="C106" s="60"/>
      <c r="D106" s="60"/>
      <c r="E106" s="60"/>
      <c r="F106" s="60"/>
      <c r="G106" s="60"/>
      <c r="H106" s="60"/>
      <c r="I106" s="60"/>
      <c r="J106" s="60"/>
      <c r="K106" s="60"/>
      <c r="L106" s="60"/>
      <c r="M106" s="60"/>
      <c r="N106" s="60"/>
      <c r="O106" s="60"/>
    </row>
    <row r="109" spans="2:15" ht="24" customHeight="1" x14ac:dyDescent="0.25">
      <c r="B109" s="14" t="s">
        <v>77</v>
      </c>
      <c r="C109" s="336"/>
      <c r="D109" s="336"/>
      <c r="E109" s="66"/>
      <c r="K109" s="337" t="s">
        <v>78</v>
      </c>
      <c r="L109" s="337"/>
      <c r="M109" s="75" t="s">
        <v>82</v>
      </c>
      <c r="N109" s="68"/>
      <c r="O109" s="67"/>
    </row>
    <row r="110" spans="2:15" x14ac:dyDescent="0.25">
      <c r="B110" s="338" t="s">
        <v>10</v>
      </c>
      <c r="C110" s="338"/>
      <c r="D110" s="339" t="s">
        <v>9</v>
      </c>
      <c r="E110" s="340"/>
      <c r="F110" s="341" t="s">
        <v>8</v>
      </c>
      <c r="G110" s="342"/>
      <c r="H110" s="343" t="s">
        <v>7</v>
      </c>
      <c r="I110" s="344"/>
      <c r="J110" s="345" t="s">
        <v>6</v>
      </c>
      <c r="K110" s="346"/>
      <c r="L110" s="347" t="s">
        <v>5</v>
      </c>
      <c r="M110" s="348"/>
      <c r="N110" s="331" t="s">
        <v>4</v>
      </c>
      <c r="O110" s="332"/>
    </row>
    <row r="111" spans="2:15" x14ac:dyDescent="0.25">
      <c r="B111" s="65" t="s">
        <v>76</v>
      </c>
      <c r="C111" s="64" t="s">
        <v>75</v>
      </c>
      <c r="D111" s="65" t="s">
        <v>76</v>
      </c>
      <c r="E111" s="64" t="s">
        <v>75</v>
      </c>
      <c r="F111" s="65" t="s">
        <v>76</v>
      </c>
      <c r="G111" s="64" t="s">
        <v>75</v>
      </c>
      <c r="H111" s="65" t="s">
        <v>76</v>
      </c>
      <c r="I111" s="64" t="s">
        <v>75</v>
      </c>
      <c r="J111" s="65" t="s">
        <v>76</v>
      </c>
      <c r="K111" s="64" t="s">
        <v>75</v>
      </c>
      <c r="L111" s="65" t="s">
        <v>76</v>
      </c>
      <c r="M111" s="64" t="s">
        <v>75</v>
      </c>
      <c r="N111" s="65" t="s">
        <v>76</v>
      </c>
      <c r="O111" s="64" t="s">
        <v>75</v>
      </c>
    </row>
    <row r="112" spans="2:15" x14ac:dyDescent="0.25">
      <c r="B112" s="62"/>
      <c r="C112" s="62"/>
      <c r="D112" s="62"/>
      <c r="E112" s="62"/>
      <c r="F112" s="62"/>
      <c r="G112" s="62"/>
      <c r="H112" s="62"/>
      <c r="I112" s="62"/>
      <c r="J112" s="62"/>
      <c r="K112" s="62"/>
      <c r="L112" s="62"/>
      <c r="M112" s="62"/>
      <c r="N112" s="62"/>
      <c r="O112" s="61"/>
    </row>
    <row r="113" spans="2:15" x14ac:dyDescent="0.25">
      <c r="B113" s="63" t="s">
        <v>74</v>
      </c>
      <c r="C113" s="76" t="s">
        <v>73</v>
      </c>
      <c r="D113" s="63" t="s">
        <v>74</v>
      </c>
      <c r="E113" s="76" t="s">
        <v>73</v>
      </c>
      <c r="F113" s="63" t="s">
        <v>74</v>
      </c>
      <c r="G113" s="76" t="s">
        <v>73</v>
      </c>
      <c r="H113" s="63" t="s">
        <v>74</v>
      </c>
      <c r="I113" s="76" t="s">
        <v>73</v>
      </c>
      <c r="J113" s="63" t="s">
        <v>74</v>
      </c>
      <c r="K113" s="76" t="s">
        <v>73</v>
      </c>
      <c r="L113" s="63" t="s">
        <v>74</v>
      </c>
      <c r="M113" s="76" t="s">
        <v>73</v>
      </c>
      <c r="N113" s="63" t="s">
        <v>74</v>
      </c>
      <c r="O113" s="76" t="s">
        <v>73</v>
      </c>
    </row>
    <row r="114" spans="2:15" x14ac:dyDescent="0.25">
      <c r="B114" s="62"/>
      <c r="C114" s="62"/>
      <c r="D114" s="62"/>
      <c r="E114" s="62"/>
      <c r="F114" s="62"/>
      <c r="G114" s="62"/>
      <c r="H114" s="62"/>
      <c r="I114" s="62"/>
      <c r="J114" s="62"/>
      <c r="K114" s="62"/>
      <c r="L114" s="62"/>
      <c r="M114" s="62"/>
      <c r="N114" s="62"/>
      <c r="O114" s="61"/>
    </row>
    <row r="115" spans="2:15" x14ac:dyDescent="0.25">
      <c r="B115" s="76" t="s">
        <v>72</v>
      </c>
      <c r="C115" s="76" t="s">
        <v>72</v>
      </c>
      <c r="D115" s="76" t="s">
        <v>72</v>
      </c>
      <c r="E115" s="76" t="s">
        <v>72</v>
      </c>
      <c r="F115" s="76" t="s">
        <v>72</v>
      </c>
      <c r="G115" s="76" t="s">
        <v>72</v>
      </c>
      <c r="H115" s="76" t="s">
        <v>72</v>
      </c>
      <c r="I115" s="76" t="s">
        <v>72</v>
      </c>
      <c r="J115" s="76" t="s">
        <v>72</v>
      </c>
      <c r="K115" s="76" t="s">
        <v>72</v>
      </c>
      <c r="L115" s="76" t="s">
        <v>72</v>
      </c>
      <c r="M115" s="76" t="s">
        <v>72</v>
      </c>
      <c r="N115" s="76" t="s">
        <v>72</v>
      </c>
      <c r="O115" s="76" t="s">
        <v>72</v>
      </c>
    </row>
    <row r="116" spans="2:15" ht="28.5" customHeight="1" x14ac:dyDescent="0.25">
      <c r="B116" s="60"/>
      <c r="C116" s="60"/>
      <c r="D116" s="60"/>
      <c r="E116" s="60"/>
      <c r="F116" s="60"/>
      <c r="G116" s="60"/>
      <c r="H116" s="60"/>
      <c r="I116" s="60"/>
      <c r="J116" s="60"/>
      <c r="K116" s="60"/>
      <c r="L116" s="60"/>
      <c r="M116" s="60"/>
      <c r="N116" s="60"/>
      <c r="O116" s="60"/>
    </row>
    <row r="119" spans="2:15" ht="24" customHeight="1" x14ac:dyDescent="0.25">
      <c r="B119" s="14" t="s">
        <v>77</v>
      </c>
      <c r="C119" s="336"/>
      <c r="D119" s="336"/>
      <c r="E119" s="66"/>
      <c r="K119" s="337" t="s">
        <v>78</v>
      </c>
      <c r="L119" s="337"/>
      <c r="M119" s="75" t="s">
        <v>82</v>
      </c>
      <c r="N119" s="68"/>
      <c r="O119" s="67"/>
    </row>
    <row r="120" spans="2:15" x14ac:dyDescent="0.25">
      <c r="B120" s="338" t="s">
        <v>10</v>
      </c>
      <c r="C120" s="338"/>
      <c r="D120" s="339" t="s">
        <v>9</v>
      </c>
      <c r="E120" s="340"/>
      <c r="F120" s="341" t="s">
        <v>8</v>
      </c>
      <c r="G120" s="342"/>
      <c r="H120" s="343" t="s">
        <v>7</v>
      </c>
      <c r="I120" s="344"/>
      <c r="J120" s="345" t="s">
        <v>6</v>
      </c>
      <c r="K120" s="346"/>
      <c r="L120" s="347" t="s">
        <v>5</v>
      </c>
      <c r="M120" s="348"/>
      <c r="N120" s="331" t="s">
        <v>4</v>
      </c>
      <c r="O120" s="332"/>
    </row>
    <row r="121" spans="2:15" x14ac:dyDescent="0.25">
      <c r="B121" s="65" t="s">
        <v>76</v>
      </c>
      <c r="C121" s="64" t="s">
        <v>75</v>
      </c>
      <c r="D121" s="65" t="s">
        <v>76</v>
      </c>
      <c r="E121" s="64" t="s">
        <v>75</v>
      </c>
      <c r="F121" s="65" t="s">
        <v>76</v>
      </c>
      <c r="G121" s="64" t="s">
        <v>75</v>
      </c>
      <c r="H121" s="65" t="s">
        <v>76</v>
      </c>
      <c r="I121" s="64" t="s">
        <v>75</v>
      </c>
      <c r="J121" s="65" t="s">
        <v>76</v>
      </c>
      <c r="K121" s="64" t="s">
        <v>75</v>
      </c>
      <c r="L121" s="65" t="s">
        <v>76</v>
      </c>
      <c r="M121" s="64" t="s">
        <v>75</v>
      </c>
      <c r="N121" s="65" t="s">
        <v>76</v>
      </c>
      <c r="O121" s="64" t="s">
        <v>75</v>
      </c>
    </row>
    <row r="122" spans="2:15" x14ac:dyDescent="0.25">
      <c r="B122" s="62"/>
      <c r="C122" s="62"/>
      <c r="D122" s="62"/>
      <c r="E122" s="62"/>
      <c r="F122" s="62"/>
      <c r="G122" s="62"/>
      <c r="H122" s="62"/>
      <c r="I122" s="62"/>
      <c r="J122" s="62"/>
      <c r="K122" s="62"/>
      <c r="L122" s="62"/>
      <c r="M122" s="62"/>
      <c r="N122" s="62"/>
      <c r="O122" s="61"/>
    </row>
    <row r="123" spans="2:15" x14ac:dyDescent="0.25">
      <c r="B123" s="63" t="s">
        <v>74</v>
      </c>
      <c r="C123" s="76" t="s">
        <v>73</v>
      </c>
      <c r="D123" s="63" t="s">
        <v>74</v>
      </c>
      <c r="E123" s="76" t="s">
        <v>73</v>
      </c>
      <c r="F123" s="63" t="s">
        <v>74</v>
      </c>
      <c r="G123" s="76" t="s">
        <v>73</v>
      </c>
      <c r="H123" s="63" t="s">
        <v>74</v>
      </c>
      <c r="I123" s="76" t="s">
        <v>73</v>
      </c>
      <c r="J123" s="63" t="s">
        <v>74</v>
      </c>
      <c r="K123" s="76" t="s">
        <v>73</v>
      </c>
      <c r="L123" s="63" t="s">
        <v>74</v>
      </c>
      <c r="M123" s="76" t="s">
        <v>73</v>
      </c>
      <c r="N123" s="63" t="s">
        <v>74</v>
      </c>
      <c r="O123" s="76" t="s">
        <v>73</v>
      </c>
    </row>
    <row r="124" spans="2:15" x14ac:dyDescent="0.25">
      <c r="B124" s="62"/>
      <c r="C124" s="62"/>
      <c r="D124" s="62"/>
      <c r="E124" s="62"/>
      <c r="F124" s="62"/>
      <c r="G124" s="62"/>
      <c r="H124" s="62"/>
      <c r="I124" s="62"/>
      <c r="J124" s="62"/>
      <c r="K124" s="62"/>
      <c r="L124" s="62"/>
      <c r="M124" s="62"/>
      <c r="N124" s="62"/>
      <c r="O124" s="61"/>
    </row>
    <row r="125" spans="2:15" s="71" customFormat="1" ht="13.5" x14ac:dyDescent="0.15">
      <c r="B125" s="70" t="s">
        <v>72</v>
      </c>
      <c r="C125" s="70" t="s">
        <v>72</v>
      </c>
      <c r="D125" s="70" t="s">
        <v>72</v>
      </c>
      <c r="E125" s="70" t="s">
        <v>72</v>
      </c>
      <c r="F125" s="70" t="s">
        <v>72</v>
      </c>
      <c r="G125" s="70" t="s">
        <v>72</v>
      </c>
      <c r="H125" s="70" t="s">
        <v>72</v>
      </c>
      <c r="I125" s="70" t="s">
        <v>72</v>
      </c>
      <c r="J125" s="70" t="s">
        <v>72</v>
      </c>
      <c r="K125" s="70" t="s">
        <v>72</v>
      </c>
      <c r="L125" s="70" t="s">
        <v>72</v>
      </c>
      <c r="M125" s="70" t="s">
        <v>72</v>
      </c>
      <c r="N125" s="70" t="s">
        <v>72</v>
      </c>
      <c r="O125" s="70" t="s">
        <v>72</v>
      </c>
    </row>
    <row r="126" spans="2:15" ht="28.5" customHeight="1" x14ac:dyDescent="0.25">
      <c r="B126" s="60"/>
      <c r="C126" s="60"/>
      <c r="D126" s="60"/>
      <c r="E126" s="60"/>
      <c r="F126" s="60"/>
      <c r="G126" s="60"/>
      <c r="H126" s="60"/>
      <c r="I126" s="60"/>
      <c r="J126" s="60"/>
      <c r="K126" s="60"/>
      <c r="L126" s="60"/>
      <c r="M126" s="60"/>
      <c r="N126" s="60"/>
      <c r="O126" s="60"/>
    </row>
    <row r="128" spans="2:15" ht="24" customHeight="1" x14ac:dyDescent="0.25">
      <c r="B128" s="14" t="s">
        <v>77</v>
      </c>
      <c r="C128" s="336"/>
      <c r="D128" s="336"/>
      <c r="E128" s="66"/>
      <c r="K128" s="337" t="s">
        <v>78</v>
      </c>
      <c r="L128" s="337"/>
      <c r="M128" s="75" t="s">
        <v>82</v>
      </c>
      <c r="N128" s="68"/>
      <c r="O128" s="67"/>
    </row>
    <row r="129" spans="2:15" x14ac:dyDescent="0.25">
      <c r="B129" s="338" t="s">
        <v>10</v>
      </c>
      <c r="C129" s="338"/>
      <c r="D129" s="339" t="s">
        <v>9</v>
      </c>
      <c r="E129" s="340"/>
      <c r="F129" s="341" t="s">
        <v>8</v>
      </c>
      <c r="G129" s="342"/>
      <c r="H129" s="343" t="s">
        <v>7</v>
      </c>
      <c r="I129" s="344"/>
      <c r="J129" s="345" t="s">
        <v>6</v>
      </c>
      <c r="K129" s="346"/>
      <c r="L129" s="347" t="s">
        <v>5</v>
      </c>
      <c r="M129" s="348" t="s">
        <v>81</v>
      </c>
      <c r="N129" s="331" t="s">
        <v>4</v>
      </c>
      <c r="O129" s="332"/>
    </row>
    <row r="130" spans="2:15" x14ac:dyDescent="0.25">
      <c r="B130" s="65" t="s">
        <v>76</v>
      </c>
      <c r="C130" s="64" t="s">
        <v>75</v>
      </c>
      <c r="D130" s="65" t="s">
        <v>76</v>
      </c>
      <c r="E130" s="64" t="s">
        <v>75</v>
      </c>
      <c r="F130" s="65" t="s">
        <v>76</v>
      </c>
      <c r="G130" s="64" t="s">
        <v>75</v>
      </c>
      <c r="H130" s="65" t="s">
        <v>76</v>
      </c>
      <c r="I130" s="64" t="s">
        <v>75</v>
      </c>
      <c r="J130" s="65" t="s">
        <v>76</v>
      </c>
      <c r="K130" s="64" t="s">
        <v>75</v>
      </c>
      <c r="L130" s="65" t="s">
        <v>76</v>
      </c>
      <c r="M130" s="64" t="s">
        <v>75</v>
      </c>
      <c r="N130" s="65" t="s">
        <v>76</v>
      </c>
      <c r="O130" s="64" t="s">
        <v>75</v>
      </c>
    </row>
    <row r="131" spans="2:15" s="74" customFormat="1" ht="18" customHeight="1" x14ac:dyDescent="0.25">
      <c r="B131" s="72"/>
      <c r="C131" s="72"/>
      <c r="D131" s="72"/>
      <c r="E131" s="72"/>
      <c r="F131" s="72"/>
      <c r="G131" s="72"/>
      <c r="H131" s="72"/>
      <c r="I131" s="72"/>
      <c r="J131" s="72"/>
      <c r="K131" s="72"/>
      <c r="L131" s="72"/>
      <c r="M131" s="72"/>
      <c r="N131" s="72"/>
      <c r="O131" s="73"/>
    </row>
    <row r="132" spans="2:15" x14ac:dyDescent="0.25">
      <c r="B132" s="63" t="s">
        <v>74</v>
      </c>
      <c r="C132" s="76" t="s">
        <v>73</v>
      </c>
      <c r="D132" s="63" t="s">
        <v>74</v>
      </c>
      <c r="E132" s="76" t="s">
        <v>73</v>
      </c>
      <c r="F132" s="63" t="s">
        <v>74</v>
      </c>
      <c r="G132" s="76" t="s">
        <v>73</v>
      </c>
      <c r="H132" s="63" t="s">
        <v>74</v>
      </c>
      <c r="I132" s="76" t="s">
        <v>73</v>
      </c>
      <c r="J132" s="63" t="s">
        <v>74</v>
      </c>
      <c r="K132" s="76" t="s">
        <v>73</v>
      </c>
      <c r="L132" s="63" t="s">
        <v>74</v>
      </c>
      <c r="M132" s="76" t="s">
        <v>73</v>
      </c>
      <c r="N132" s="63" t="s">
        <v>74</v>
      </c>
      <c r="O132" s="76" t="s">
        <v>73</v>
      </c>
    </row>
    <row r="133" spans="2:15" s="74" customFormat="1" ht="18" customHeight="1" x14ac:dyDescent="0.25">
      <c r="B133" s="72"/>
      <c r="C133" s="72"/>
      <c r="D133" s="72"/>
      <c r="E133" s="72"/>
      <c r="F133" s="72"/>
      <c r="G133" s="72"/>
      <c r="H133" s="72"/>
      <c r="I133" s="72"/>
      <c r="J133" s="72"/>
      <c r="K133" s="72"/>
      <c r="L133" s="72"/>
      <c r="M133" s="72"/>
      <c r="N133" s="72"/>
      <c r="O133" s="73"/>
    </row>
    <row r="134" spans="2:15" s="71" customFormat="1" ht="13.5" x14ac:dyDescent="0.15">
      <c r="B134" s="70" t="s">
        <v>72</v>
      </c>
      <c r="C134" s="70" t="s">
        <v>72</v>
      </c>
      <c r="D134" s="70" t="s">
        <v>72</v>
      </c>
      <c r="E134" s="70" t="s">
        <v>72</v>
      </c>
      <c r="F134" s="70" t="s">
        <v>72</v>
      </c>
      <c r="G134" s="70" t="s">
        <v>72</v>
      </c>
      <c r="H134" s="70" t="s">
        <v>72</v>
      </c>
      <c r="I134" s="70" t="s">
        <v>72</v>
      </c>
      <c r="J134" s="70" t="s">
        <v>72</v>
      </c>
      <c r="K134" s="70" t="s">
        <v>72</v>
      </c>
      <c r="L134" s="70" t="s">
        <v>72</v>
      </c>
      <c r="M134" s="70" t="s">
        <v>72</v>
      </c>
      <c r="N134" s="70" t="s">
        <v>72</v>
      </c>
      <c r="O134" s="70" t="s">
        <v>72</v>
      </c>
    </row>
    <row r="135" spans="2:15" ht="28.5" customHeight="1" x14ac:dyDescent="0.25">
      <c r="B135" s="60"/>
      <c r="C135" s="60"/>
      <c r="D135" s="60"/>
      <c r="E135" s="60"/>
      <c r="F135" s="60"/>
      <c r="G135" s="60"/>
      <c r="H135" s="60"/>
      <c r="I135" s="60"/>
      <c r="J135" s="60"/>
      <c r="K135" s="60"/>
      <c r="L135" s="60"/>
      <c r="M135" s="60"/>
      <c r="N135" s="60"/>
      <c r="O135" s="60"/>
    </row>
    <row r="138" spans="2:15" ht="24" customHeight="1" x14ac:dyDescent="0.25">
      <c r="B138" s="14" t="s">
        <v>77</v>
      </c>
      <c r="C138" s="336"/>
      <c r="D138" s="336"/>
      <c r="E138" s="66"/>
      <c r="K138" s="337" t="s">
        <v>78</v>
      </c>
      <c r="L138" s="337"/>
      <c r="M138" s="75" t="s">
        <v>82</v>
      </c>
      <c r="N138" s="68"/>
      <c r="O138" s="67"/>
    </row>
    <row r="139" spans="2:15" x14ac:dyDescent="0.25">
      <c r="B139" s="338" t="s">
        <v>10</v>
      </c>
      <c r="C139" s="338"/>
      <c r="D139" s="339" t="s">
        <v>9</v>
      </c>
      <c r="E139" s="340"/>
      <c r="F139" s="341" t="s">
        <v>8</v>
      </c>
      <c r="G139" s="342"/>
      <c r="H139" s="343" t="s">
        <v>7</v>
      </c>
      <c r="I139" s="344"/>
      <c r="J139" s="345" t="s">
        <v>6</v>
      </c>
      <c r="K139" s="346"/>
      <c r="L139" s="347" t="s">
        <v>5</v>
      </c>
      <c r="M139" s="348"/>
      <c r="N139" s="331" t="s">
        <v>4</v>
      </c>
      <c r="O139" s="332"/>
    </row>
    <row r="140" spans="2:15" x14ac:dyDescent="0.25">
      <c r="B140" s="65" t="s">
        <v>76</v>
      </c>
      <c r="C140" s="64" t="s">
        <v>75</v>
      </c>
      <c r="D140" s="65" t="s">
        <v>76</v>
      </c>
      <c r="E140" s="64" t="s">
        <v>75</v>
      </c>
      <c r="F140" s="65" t="s">
        <v>76</v>
      </c>
      <c r="G140" s="64" t="s">
        <v>75</v>
      </c>
      <c r="H140" s="65" t="s">
        <v>76</v>
      </c>
      <c r="I140" s="64" t="s">
        <v>75</v>
      </c>
      <c r="J140" s="65" t="s">
        <v>76</v>
      </c>
      <c r="K140" s="64" t="s">
        <v>75</v>
      </c>
      <c r="L140" s="65" t="s">
        <v>76</v>
      </c>
      <c r="M140" s="64" t="s">
        <v>75</v>
      </c>
      <c r="N140" s="65" t="s">
        <v>76</v>
      </c>
      <c r="O140" s="64" t="s">
        <v>75</v>
      </c>
    </row>
    <row r="141" spans="2:15" x14ac:dyDescent="0.25">
      <c r="B141" s="62"/>
      <c r="C141" s="62"/>
      <c r="D141" s="62"/>
      <c r="E141" s="62"/>
      <c r="F141" s="62"/>
      <c r="G141" s="62"/>
      <c r="H141" s="62"/>
      <c r="I141" s="62"/>
      <c r="J141" s="62"/>
      <c r="K141" s="62"/>
      <c r="L141" s="62"/>
      <c r="M141" s="62"/>
      <c r="N141" s="62"/>
      <c r="O141" s="61"/>
    </row>
    <row r="142" spans="2:15" x14ac:dyDescent="0.25">
      <c r="B142" s="63" t="s">
        <v>74</v>
      </c>
      <c r="C142" s="76" t="s">
        <v>73</v>
      </c>
      <c r="D142" s="63" t="s">
        <v>74</v>
      </c>
      <c r="E142" s="76" t="s">
        <v>73</v>
      </c>
      <c r="F142" s="63" t="s">
        <v>74</v>
      </c>
      <c r="G142" s="76" t="s">
        <v>73</v>
      </c>
      <c r="H142" s="63" t="s">
        <v>74</v>
      </c>
      <c r="I142" s="76" t="s">
        <v>73</v>
      </c>
      <c r="J142" s="63" t="s">
        <v>74</v>
      </c>
      <c r="K142" s="76" t="s">
        <v>73</v>
      </c>
      <c r="L142" s="63" t="s">
        <v>74</v>
      </c>
      <c r="M142" s="76" t="s">
        <v>73</v>
      </c>
      <c r="N142" s="63" t="s">
        <v>74</v>
      </c>
      <c r="O142" s="76" t="s">
        <v>73</v>
      </c>
    </row>
    <row r="143" spans="2:15" x14ac:dyDescent="0.25">
      <c r="B143" s="62"/>
      <c r="C143" s="62"/>
      <c r="D143" s="62"/>
      <c r="E143" s="62"/>
      <c r="F143" s="62"/>
      <c r="G143" s="62"/>
      <c r="H143" s="62"/>
      <c r="I143" s="62"/>
      <c r="J143" s="62"/>
      <c r="K143" s="62"/>
      <c r="L143" s="62"/>
      <c r="M143" s="62"/>
      <c r="N143" s="62"/>
      <c r="O143" s="61"/>
    </row>
    <row r="144" spans="2:15" x14ac:dyDescent="0.25">
      <c r="B144" s="76" t="s">
        <v>72</v>
      </c>
      <c r="C144" s="76" t="s">
        <v>72</v>
      </c>
      <c r="D144" s="76" t="s">
        <v>72</v>
      </c>
      <c r="E144" s="76" t="s">
        <v>72</v>
      </c>
      <c r="F144" s="76" t="s">
        <v>72</v>
      </c>
      <c r="G144" s="76" t="s">
        <v>72</v>
      </c>
      <c r="H144" s="76" t="s">
        <v>72</v>
      </c>
      <c r="I144" s="76" t="s">
        <v>72</v>
      </c>
      <c r="J144" s="76" t="s">
        <v>72</v>
      </c>
      <c r="K144" s="76" t="s">
        <v>72</v>
      </c>
      <c r="L144" s="76" t="s">
        <v>72</v>
      </c>
      <c r="M144" s="76" t="s">
        <v>72</v>
      </c>
      <c r="N144" s="76" t="s">
        <v>72</v>
      </c>
      <c r="O144" s="76" t="s">
        <v>72</v>
      </c>
    </row>
    <row r="145" spans="2:15" ht="28.5" customHeight="1" x14ac:dyDescent="0.25">
      <c r="B145" s="60"/>
      <c r="C145" s="60"/>
      <c r="D145" s="60"/>
      <c r="E145" s="60"/>
      <c r="F145" s="60"/>
      <c r="G145" s="60"/>
      <c r="H145" s="60"/>
      <c r="I145" s="60"/>
      <c r="J145" s="60"/>
      <c r="K145" s="60"/>
      <c r="L145" s="60"/>
      <c r="M145" s="60"/>
      <c r="N145" s="60"/>
      <c r="O145" s="60"/>
    </row>
    <row r="148" spans="2:15" ht="24" customHeight="1" x14ac:dyDescent="0.25">
      <c r="B148" s="14" t="s">
        <v>77</v>
      </c>
      <c r="C148" s="336"/>
      <c r="D148" s="336"/>
      <c r="E148" s="66"/>
      <c r="K148" s="337" t="s">
        <v>78</v>
      </c>
      <c r="L148" s="337"/>
      <c r="M148" s="75" t="s">
        <v>82</v>
      </c>
      <c r="N148" s="68"/>
      <c r="O148" s="67"/>
    </row>
    <row r="149" spans="2:15" x14ac:dyDescent="0.25">
      <c r="B149" s="338" t="s">
        <v>10</v>
      </c>
      <c r="C149" s="338"/>
      <c r="D149" s="339" t="s">
        <v>9</v>
      </c>
      <c r="E149" s="340"/>
      <c r="F149" s="341" t="s">
        <v>8</v>
      </c>
      <c r="G149" s="342"/>
      <c r="H149" s="343" t="s">
        <v>7</v>
      </c>
      <c r="I149" s="344"/>
      <c r="J149" s="345" t="s">
        <v>6</v>
      </c>
      <c r="K149" s="346"/>
      <c r="L149" s="347" t="s">
        <v>5</v>
      </c>
      <c r="M149" s="348"/>
      <c r="N149" s="331" t="s">
        <v>4</v>
      </c>
      <c r="O149" s="332"/>
    </row>
    <row r="150" spans="2:15" x14ac:dyDescent="0.25">
      <c r="B150" s="65" t="s">
        <v>76</v>
      </c>
      <c r="C150" s="64" t="s">
        <v>75</v>
      </c>
      <c r="D150" s="65" t="s">
        <v>76</v>
      </c>
      <c r="E150" s="64" t="s">
        <v>75</v>
      </c>
      <c r="F150" s="65" t="s">
        <v>76</v>
      </c>
      <c r="G150" s="64" t="s">
        <v>75</v>
      </c>
      <c r="H150" s="65" t="s">
        <v>76</v>
      </c>
      <c r="I150" s="64" t="s">
        <v>75</v>
      </c>
      <c r="J150" s="65" t="s">
        <v>76</v>
      </c>
      <c r="K150" s="64" t="s">
        <v>75</v>
      </c>
      <c r="L150" s="65" t="s">
        <v>76</v>
      </c>
      <c r="M150" s="64" t="s">
        <v>75</v>
      </c>
      <c r="N150" s="65" t="s">
        <v>76</v>
      </c>
      <c r="O150" s="64" t="s">
        <v>75</v>
      </c>
    </row>
    <row r="151" spans="2:15" x14ac:dyDescent="0.25">
      <c r="B151" s="62"/>
      <c r="C151" s="62"/>
      <c r="D151" s="62"/>
      <c r="E151" s="62"/>
      <c r="F151" s="62"/>
      <c r="G151" s="62"/>
      <c r="H151" s="62"/>
      <c r="I151" s="62"/>
      <c r="J151" s="62"/>
      <c r="K151" s="62"/>
      <c r="L151" s="62"/>
      <c r="M151" s="62"/>
      <c r="N151" s="62"/>
      <c r="O151" s="61"/>
    </row>
    <row r="152" spans="2:15" x14ac:dyDescent="0.25">
      <c r="B152" s="63" t="s">
        <v>74</v>
      </c>
      <c r="C152" s="76" t="s">
        <v>73</v>
      </c>
      <c r="D152" s="63" t="s">
        <v>74</v>
      </c>
      <c r="E152" s="76" t="s">
        <v>73</v>
      </c>
      <c r="F152" s="63" t="s">
        <v>74</v>
      </c>
      <c r="G152" s="76" t="s">
        <v>73</v>
      </c>
      <c r="H152" s="63" t="s">
        <v>74</v>
      </c>
      <c r="I152" s="76" t="s">
        <v>73</v>
      </c>
      <c r="J152" s="63" t="s">
        <v>74</v>
      </c>
      <c r="K152" s="76" t="s">
        <v>73</v>
      </c>
      <c r="L152" s="63" t="s">
        <v>74</v>
      </c>
      <c r="M152" s="76" t="s">
        <v>73</v>
      </c>
      <c r="N152" s="63" t="s">
        <v>74</v>
      </c>
      <c r="O152" s="76" t="s">
        <v>73</v>
      </c>
    </row>
    <row r="153" spans="2:15" x14ac:dyDescent="0.25">
      <c r="B153" s="62"/>
      <c r="C153" s="62"/>
      <c r="D153" s="62"/>
      <c r="E153" s="62"/>
      <c r="F153" s="62"/>
      <c r="G153" s="62"/>
      <c r="H153" s="62"/>
      <c r="I153" s="62"/>
      <c r="J153" s="62"/>
      <c r="K153" s="62"/>
      <c r="L153" s="62"/>
      <c r="M153" s="62"/>
      <c r="N153" s="62"/>
      <c r="O153" s="61"/>
    </row>
    <row r="154" spans="2:15" s="71" customFormat="1" ht="13.5" x14ac:dyDescent="0.15">
      <c r="B154" s="70" t="s">
        <v>72</v>
      </c>
      <c r="C154" s="70" t="s">
        <v>72</v>
      </c>
      <c r="D154" s="70" t="s">
        <v>72</v>
      </c>
      <c r="E154" s="70" t="s">
        <v>72</v>
      </c>
      <c r="F154" s="70" t="s">
        <v>72</v>
      </c>
      <c r="G154" s="70" t="s">
        <v>72</v>
      </c>
      <c r="H154" s="70" t="s">
        <v>72</v>
      </c>
      <c r="I154" s="70" t="s">
        <v>72</v>
      </c>
      <c r="J154" s="70" t="s">
        <v>72</v>
      </c>
      <c r="K154" s="70" t="s">
        <v>72</v>
      </c>
      <c r="L154" s="70" t="s">
        <v>72</v>
      </c>
      <c r="M154" s="70" t="s">
        <v>72</v>
      </c>
      <c r="N154" s="70" t="s">
        <v>72</v>
      </c>
      <c r="O154" s="70" t="s">
        <v>72</v>
      </c>
    </row>
    <row r="155" spans="2:15" ht="28.5" customHeight="1" x14ac:dyDescent="0.25">
      <c r="B155" s="60"/>
      <c r="C155" s="60"/>
      <c r="D155" s="60"/>
      <c r="E155" s="60"/>
      <c r="F155" s="60"/>
      <c r="G155" s="60"/>
      <c r="H155" s="60"/>
      <c r="I155" s="60"/>
      <c r="J155" s="60"/>
      <c r="K155" s="60"/>
      <c r="L155" s="60"/>
      <c r="M155" s="60"/>
      <c r="N155" s="60"/>
      <c r="O155" s="60"/>
    </row>
    <row r="157" spans="2:15" ht="24" customHeight="1" x14ac:dyDescent="0.25">
      <c r="B157" s="14" t="s">
        <v>77</v>
      </c>
      <c r="C157" s="336"/>
      <c r="D157" s="336"/>
      <c r="E157" s="66"/>
      <c r="K157" s="337" t="s">
        <v>78</v>
      </c>
      <c r="L157" s="337"/>
      <c r="M157" s="75" t="s">
        <v>82</v>
      </c>
      <c r="N157" s="68"/>
      <c r="O157" s="67"/>
    </row>
    <row r="158" spans="2:15" x14ac:dyDescent="0.25">
      <c r="B158" s="338" t="s">
        <v>10</v>
      </c>
      <c r="C158" s="338"/>
      <c r="D158" s="339" t="s">
        <v>9</v>
      </c>
      <c r="E158" s="340"/>
      <c r="F158" s="341" t="s">
        <v>8</v>
      </c>
      <c r="G158" s="342"/>
      <c r="H158" s="343" t="s">
        <v>7</v>
      </c>
      <c r="I158" s="344"/>
      <c r="J158" s="345" t="s">
        <v>6</v>
      </c>
      <c r="K158" s="346"/>
      <c r="L158" s="347" t="s">
        <v>5</v>
      </c>
      <c r="M158" s="348" t="s">
        <v>81</v>
      </c>
      <c r="N158" s="331" t="s">
        <v>4</v>
      </c>
      <c r="O158" s="332"/>
    </row>
    <row r="159" spans="2:15" x14ac:dyDescent="0.25">
      <c r="B159" s="65" t="s">
        <v>76</v>
      </c>
      <c r="C159" s="64" t="s">
        <v>75</v>
      </c>
      <c r="D159" s="65" t="s">
        <v>76</v>
      </c>
      <c r="E159" s="64" t="s">
        <v>75</v>
      </c>
      <c r="F159" s="65" t="s">
        <v>76</v>
      </c>
      <c r="G159" s="64" t="s">
        <v>75</v>
      </c>
      <c r="H159" s="65" t="s">
        <v>76</v>
      </c>
      <c r="I159" s="64" t="s">
        <v>75</v>
      </c>
      <c r="J159" s="65" t="s">
        <v>76</v>
      </c>
      <c r="K159" s="64" t="s">
        <v>75</v>
      </c>
      <c r="L159" s="65" t="s">
        <v>76</v>
      </c>
      <c r="M159" s="64" t="s">
        <v>75</v>
      </c>
      <c r="N159" s="65" t="s">
        <v>76</v>
      </c>
      <c r="O159" s="64" t="s">
        <v>75</v>
      </c>
    </row>
    <row r="160" spans="2:15" s="74" customFormat="1" ht="18" customHeight="1" x14ac:dyDescent="0.25">
      <c r="B160" s="72"/>
      <c r="C160" s="72"/>
      <c r="D160" s="72"/>
      <c r="E160" s="72"/>
      <c r="F160" s="72"/>
      <c r="G160" s="72"/>
      <c r="H160" s="72"/>
      <c r="I160" s="72"/>
      <c r="J160" s="72"/>
      <c r="K160" s="72"/>
      <c r="L160" s="72"/>
      <c r="M160" s="72"/>
      <c r="N160" s="72"/>
      <c r="O160" s="73"/>
    </row>
    <row r="161" spans="2:15" x14ac:dyDescent="0.25">
      <c r="B161" s="63" t="s">
        <v>74</v>
      </c>
      <c r="C161" s="76" t="s">
        <v>73</v>
      </c>
      <c r="D161" s="63" t="s">
        <v>74</v>
      </c>
      <c r="E161" s="76" t="s">
        <v>73</v>
      </c>
      <c r="F161" s="63" t="s">
        <v>74</v>
      </c>
      <c r="G161" s="76" t="s">
        <v>73</v>
      </c>
      <c r="H161" s="63" t="s">
        <v>74</v>
      </c>
      <c r="I161" s="76" t="s">
        <v>73</v>
      </c>
      <c r="J161" s="63" t="s">
        <v>74</v>
      </c>
      <c r="K161" s="76" t="s">
        <v>73</v>
      </c>
      <c r="L161" s="63" t="s">
        <v>74</v>
      </c>
      <c r="M161" s="76" t="s">
        <v>73</v>
      </c>
      <c r="N161" s="63" t="s">
        <v>74</v>
      </c>
      <c r="O161" s="76" t="s">
        <v>73</v>
      </c>
    </row>
    <row r="162" spans="2:15" s="74" customFormat="1" ht="18" customHeight="1" x14ac:dyDescent="0.25">
      <c r="B162" s="72"/>
      <c r="C162" s="72"/>
      <c r="D162" s="72"/>
      <c r="E162" s="72"/>
      <c r="F162" s="72"/>
      <c r="G162" s="72"/>
      <c r="H162" s="72"/>
      <c r="I162" s="72"/>
      <c r="J162" s="72"/>
      <c r="K162" s="72"/>
      <c r="L162" s="72"/>
      <c r="M162" s="72"/>
      <c r="N162" s="72"/>
      <c r="O162" s="73"/>
    </row>
    <row r="163" spans="2:15" s="71" customFormat="1" ht="13.5" x14ac:dyDescent="0.15">
      <c r="B163" s="70" t="s">
        <v>72</v>
      </c>
      <c r="C163" s="70" t="s">
        <v>72</v>
      </c>
      <c r="D163" s="70" t="s">
        <v>72</v>
      </c>
      <c r="E163" s="70" t="s">
        <v>72</v>
      </c>
      <c r="F163" s="70" t="s">
        <v>72</v>
      </c>
      <c r="G163" s="70" t="s">
        <v>72</v>
      </c>
      <c r="H163" s="70" t="s">
        <v>72</v>
      </c>
      <c r="I163" s="70" t="s">
        <v>72</v>
      </c>
      <c r="J163" s="70" t="s">
        <v>72</v>
      </c>
      <c r="K163" s="70" t="s">
        <v>72</v>
      </c>
      <c r="L163" s="70" t="s">
        <v>72</v>
      </c>
      <c r="M163" s="70" t="s">
        <v>72</v>
      </c>
      <c r="N163" s="70" t="s">
        <v>72</v>
      </c>
      <c r="O163" s="70" t="s">
        <v>72</v>
      </c>
    </row>
    <row r="164" spans="2:15" ht="28.5" customHeight="1" x14ac:dyDescent="0.25">
      <c r="B164" s="60"/>
      <c r="C164" s="60"/>
      <c r="D164" s="60"/>
      <c r="E164" s="60"/>
      <c r="F164" s="60"/>
      <c r="G164" s="60"/>
      <c r="H164" s="60"/>
      <c r="I164" s="60"/>
      <c r="J164" s="60"/>
      <c r="K164" s="60"/>
      <c r="L164" s="60"/>
      <c r="M164" s="60"/>
      <c r="N164" s="60"/>
      <c r="O164" s="60"/>
    </row>
    <row r="167" spans="2:15" ht="24" customHeight="1" x14ac:dyDescent="0.25">
      <c r="B167" s="14" t="s">
        <v>77</v>
      </c>
      <c r="C167" s="336"/>
      <c r="D167" s="336"/>
      <c r="E167" s="66"/>
      <c r="K167" s="337" t="s">
        <v>78</v>
      </c>
      <c r="L167" s="337"/>
      <c r="M167" s="75" t="s">
        <v>82</v>
      </c>
      <c r="N167" s="68"/>
      <c r="O167" s="67"/>
    </row>
    <row r="168" spans="2:15" x14ac:dyDescent="0.25">
      <c r="B168" s="338" t="s">
        <v>10</v>
      </c>
      <c r="C168" s="338"/>
      <c r="D168" s="339" t="s">
        <v>9</v>
      </c>
      <c r="E168" s="340"/>
      <c r="F168" s="341" t="s">
        <v>8</v>
      </c>
      <c r="G168" s="342"/>
      <c r="H168" s="343" t="s">
        <v>7</v>
      </c>
      <c r="I168" s="344"/>
      <c r="J168" s="345" t="s">
        <v>6</v>
      </c>
      <c r="K168" s="346"/>
      <c r="L168" s="347" t="s">
        <v>5</v>
      </c>
      <c r="M168" s="348"/>
      <c r="N168" s="331" t="s">
        <v>4</v>
      </c>
      <c r="O168" s="332"/>
    </row>
    <row r="169" spans="2:15" x14ac:dyDescent="0.25">
      <c r="B169" s="65" t="s">
        <v>76</v>
      </c>
      <c r="C169" s="64" t="s">
        <v>75</v>
      </c>
      <c r="D169" s="65" t="s">
        <v>76</v>
      </c>
      <c r="E169" s="64" t="s">
        <v>75</v>
      </c>
      <c r="F169" s="65" t="s">
        <v>76</v>
      </c>
      <c r="G169" s="64" t="s">
        <v>75</v>
      </c>
      <c r="H169" s="65" t="s">
        <v>76</v>
      </c>
      <c r="I169" s="64" t="s">
        <v>75</v>
      </c>
      <c r="J169" s="65" t="s">
        <v>76</v>
      </c>
      <c r="K169" s="64" t="s">
        <v>75</v>
      </c>
      <c r="L169" s="65" t="s">
        <v>76</v>
      </c>
      <c r="M169" s="64" t="s">
        <v>75</v>
      </c>
      <c r="N169" s="65" t="s">
        <v>76</v>
      </c>
      <c r="O169" s="64" t="s">
        <v>75</v>
      </c>
    </row>
    <row r="170" spans="2:15" x14ac:dyDescent="0.25">
      <c r="B170" s="62"/>
      <c r="C170" s="62"/>
      <c r="D170" s="62"/>
      <c r="E170" s="62"/>
      <c r="F170" s="62"/>
      <c r="G170" s="62"/>
      <c r="H170" s="62"/>
      <c r="I170" s="62"/>
      <c r="J170" s="62"/>
      <c r="K170" s="62"/>
      <c r="L170" s="62"/>
      <c r="M170" s="62"/>
      <c r="N170" s="62"/>
      <c r="O170" s="61"/>
    </row>
    <row r="171" spans="2:15" x14ac:dyDescent="0.25">
      <c r="B171" s="63" t="s">
        <v>74</v>
      </c>
      <c r="C171" s="76" t="s">
        <v>73</v>
      </c>
      <c r="D171" s="63" t="s">
        <v>74</v>
      </c>
      <c r="E171" s="76" t="s">
        <v>73</v>
      </c>
      <c r="F171" s="63" t="s">
        <v>74</v>
      </c>
      <c r="G171" s="76" t="s">
        <v>73</v>
      </c>
      <c r="H171" s="63" t="s">
        <v>74</v>
      </c>
      <c r="I171" s="76" t="s">
        <v>73</v>
      </c>
      <c r="J171" s="63" t="s">
        <v>74</v>
      </c>
      <c r="K171" s="76" t="s">
        <v>73</v>
      </c>
      <c r="L171" s="63" t="s">
        <v>74</v>
      </c>
      <c r="M171" s="76" t="s">
        <v>73</v>
      </c>
      <c r="N171" s="63" t="s">
        <v>74</v>
      </c>
      <c r="O171" s="76" t="s">
        <v>73</v>
      </c>
    </row>
    <row r="172" spans="2:15" x14ac:dyDescent="0.25">
      <c r="B172" s="62"/>
      <c r="C172" s="62"/>
      <c r="D172" s="62"/>
      <c r="E172" s="62"/>
      <c r="F172" s="62"/>
      <c r="G172" s="62"/>
      <c r="H172" s="62"/>
      <c r="I172" s="62"/>
      <c r="J172" s="62"/>
      <c r="K172" s="62"/>
      <c r="L172" s="62"/>
      <c r="M172" s="62"/>
      <c r="N172" s="62"/>
      <c r="O172" s="61"/>
    </row>
    <row r="173" spans="2:15" x14ac:dyDescent="0.25">
      <c r="B173" s="76" t="s">
        <v>72</v>
      </c>
      <c r="C173" s="76" t="s">
        <v>72</v>
      </c>
      <c r="D173" s="76" t="s">
        <v>72</v>
      </c>
      <c r="E173" s="76" t="s">
        <v>72</v>
      </c>
      <c r="F173" s="76" t="s">
        <v>72</v>
      </c>
      <c r="G173" s="76" t="s">
        <v>72</v>
      </c>
      <c r="H173" s="76" t="s">
        <v>72</v>
      </c>
      <c r="I173" s="76" t="s">
        <v>72</v>
      </c>
      <c r="J173" s="76" t="s">
        <v>72</v>
      </c>
      <c r="K173" s="76" t="s">
        <v>72</v>
      </c>
      <c r="L173" s="76" t="s">
        <v>72</v>
      </c>
      <c r="M173" s="76" t="s">
        <v>72</v>
      </c>
      <c r="N173" s="76" t="s">
        <v>72</v>
      </c>
      <c r="O173" s="76" t="s">
        <v>72</v>
      </c>
    </row>
    <row r="174" spans="2:15" ht="28.5" customHeight="1" x14ac:dyDescent="0.25">
      <c r="B174" s="60"/>
      <c r="C174" s="60"/>
      <c r="D174" s="60"/>
      <c r="E174" s="60"/>
      <c r="F174" s="60"/>
      <c r="G174" s="60"/>
      <c r="H174" s="60"/>
      <c r="I174" s="60"/>
      <c r="J174" s="60"/>
      <c r="K174" s="60"/>
      <c r="L174" s="60"/>
      <c r="M174" s="60"/>
      <c r="N174" s="60"/>
      <c r="O174" s="60"/>
    </row>
    <row r="177" spans="2:15" ht="24" customHeight="1" x14ac:dyDescent="0.25">
      <c r="B177" s="14" t="s">
        <v>77</v>
      </c>
      <c r="C177" s="336"/>
      <c r="D177" s="336"/>
      <c r="E177" s="66"/>
      <c r="K177" s="337" t="s">
        <v>78</v>
      </c>
      <c r="L177" s="337"/>
      <c r="M177" s="75" t="s">
        <v>82</v>
      </c>
      <c r="N177" s="68"/>
      <c r="O177" s="67"/>
    </row>
    <row r="178" spans="2:15" x14ac:dyDescent="0.25">
      <c r="B178" s="338" t="s">
        <v>10</v>
      </c>
      <c r="C178" s="338"/>
      <c r="D178" s="339" t="s">
        <v>9</v>
      </c>
      <c r="E178" s="340"/>
      <c r="F178" s="341" t="s">
        <v>8</v>
      </c>
      <c r="G178" s="342"/>
      <c r="H178" s="343" t="s">
        <v>7</v>
      </c>
      <c r="I178" s="344"/>
      <c r="J178" s="345" t="s">
        <v>6</v>
      </c>
      <c r="K178" s="346"/>
      <c r="L178" s="347" t="s">
        <v>5</v>
      </c>
      <c r="M178" s="348"/>
      <c r="N178" s="331" t="s">
        <v>4</v>
      </c>
      <c r="O178" s="332"/>
    </row>
    <row r="179" spans="2:15" x14ac:dyDescent="0.25">
      <c r="B179" s="65" t="s">
        <v>76</v>
      </c>
      <c r="C179" s="64" t="s">
        <v>75</v>
      </c>
      <c r="D179" s="65" t="s">
        <v>76</v>
      </c>
      <c r="E179" s="64" t="s">
        <v>75</v>
      </c>
      <c r="F179" s="65" t="s">
        <v>76</v>
      </c>
      <c r="G179" s="64" t="s">
        <v>75</v>
      </c>
      <c r="H179" s="65" t="s">
        <v>76</v>
      </c>
      <c r="I179" s="64" t="s">
        <v>75</v>
      </c>
      <c r="J179" s="65" t="s">
        <v>76</v>
      </c>
      <c r="K179" s="64" t="s">
        <v>75</v>
      </c>
      <c r="L179" s="65" t="s">
        <v>76</v>
      </c>
      <c r="M179" s="64" t="s">
        <v>75</v>
      </c>
      <c r="N179" s="65" t="s">
        <v>76</v>
      </c>
      <c r="O179" s="64" t="s">
        <v>75</v>
      </c>
    </row>
    <row r="180" spans="2:15" x14ac:dyDescent="0.25">
      <c r="B180" s="62"/>
      <c r="C180" s="62"/>
      <c r="D180" s="62"/>
      <c r="E180" s="62"/>
      <c r="F180" s="62"/>
      <c r="G180" s="62"/>
      <c r="H180" s="62"/>
      <c r="I180" s="62"/>
      <c r="J180" s="62"/>
      <c r="K180" s="62"/>
      <c r="L180" s="62"/>
      <c r="M180" s="62"/>
      <c r="N180" s="62"/>
      <c r="O180" s="61"/>
    </row>
    <row r="181" spans="2:15" x14ac:dyDescent="0.25">
      <c r="B181" s="63" t="s">
        <v>74</v>
      </c>
      <c r="C181" s="76" t="s">
        <v>73</v>
      </c>
      <c r="D181" s="63" t="s">
        <v>74</v>
      </c>
      <c r="E181" s="76" t="s">
        <v>73</v>
      </c>
      <c r="F181" s="63" t="s">
        <v>74</v>
      </c>
      <c r="G181" s="76" t="s">
        <v>73</v>
      </c>
      <c r="H181" s="63" t="s">
        <v>74</v>
      </c>
      <c r="I181" s="76" t="s">
        <v>73</v>
      </c>
      <c r="J181" s="63" t="s">
        <v>74</v>
      </c>
      <c r="K181" s="76" t="s">
        <v>73</v>
      </c>
      <c r="L181" s="63" t="s">
        <v>74</v>
      </c>
      <c r="M181" s="76" t="s">
        <v>73</v>
      </c>
      <c r="N181" s="63" t="s">
        <v>74</v>
      </c>
      <c r="O181" s="76" t="s">
        <v>73</v>
      </c>
    </row>
    <row r="182" spans="2:15" x14ac:dyDescent="0.25">
      <c r="B182" s="62"/>
      <c r="C182" s="62"/>
      <c r="D182" s="62"/>
      <c r="E182" s="62"/>
      <c r="F182" s="62"/>
      <c r="G182" s="62"/>
      <c r="H182" s="62"/>
      <c r="I182" s="62"/>
      <c r="J182" s="62"/>
      <c r="K182" s="62"/>
      <c r="L182" s="62"/>
      <c r="M182" s="62"/>
      <c r="N182" s="62"/>
      <c r="O182" s="61"/>
    </row>
    <row r="183" spans="2:15" s="71" customFormat="1" ht="13.5" x14ac:dyDescent="0.15">
      <c r="B183" s="70" t="s">
        <v>72</v>
      </c>
      <c r="C183" s="70" t="s">
        <v>72</v>
      </c>
      <c r="D183" s="70" t="s">
        <v>72</v>
      </c>
      <c r="E183" s="70" t="s">
        <v>72</v>
      </c>
      <c r="F183" s="70" t="s">
        <v>72</v>
      </c>
      <c r="G183" s="70" t="s">
        <v>72</v>
      </c>
      <c r="H183" s="70" t="s">
        <v>72</v>
      </c>
      <c r="I183" s="70" t="s">
        <v>72</v>
      </c>
      <c r="J183" s="70" t="s">
        <v>72</v>
      </c>
      <c r="K183" s="70" t="s">
        <v>72</v>
      </c>
      <c r="L183" s="70" t="s">
        <v>72</v>
      </c>
      <c r="M183" s="70" t="s">
        <v>72</v>
      </c>
      <c r="N183" s="70" t="s">
        <v>72</v>
      </c>
      <c r="O183" s="70" t="s">
        <v>72</v>
      </c>
    </row>
    <row r="184" spans="2:15" ht="28.5" customHeight="1" x14ac:dyDescent="0.25">
      <c r="B184" s="60"/>
      <c r="C184" s="60"/>
      <c r="D184" s="60"/>
      <c r="E184" s="60"/>
      <c r="F184" s="60"/>
      <c r="G184" s="60"/>
      <c r="H184" s="60"/>
      <c r="I184" s="60"/>
      <c r="J184" s="60"/>
      <c r="K184" s="60"/>
      <c r="L184" s="60"/>
      <c r="M184" s="60"/>
      <c r="N184" s="60"/>
      <c r="O184" s="60"/>
    </row>
    <row r="186" spans="2:15" ht="24" customHeight="1" x14ac:dyDescent="0.25">
      <c r="B186" s="14" t="s">
        <v>77</v>
      </c>
      <c r="C186" s="336"/>
      <c r="D186" s="336"/>
      <c r="E186" s="66"/>
      <c r="K186" s="337" t="s">
        <v>78</v>
      </c>
      <c r="L186" s="337"/>
      <c r="M186" s="75" t="s">
        <v>82</v>
      </c>
      <c r="N186" s="68"/>
      <c r="O186" s="67"/>
    </row>
    <row r="187" spans="2:15" x14ac:dyDescent="0.25">
      <c r="B187" s="338" t="s">
        <v>10</v>
      </c>
      <c r="C187" s="338"/>
      <c r="D187" s="339" t="s">
        <v>9</v>
      </c>
      <c r="E187" s="340"/>
      <c r="F187" s="341" t="s">
        <v>8</v>
      </c>
      <c r="G187" s="342"/>
      <c r="H187" s="343" t="s">
        <v>7</v>
      </c>
      <c r="I187" s="344"/>
      <c r="J187" s="345" t="s">
        <v>6</v>
      </c>
      <c r="K187" s="346"/>
      <c r="L187" s="347" t="s">
        <v>5</v>
      </c>
      <c r="M187" s="348" t="s">
        <v>81</v>
      </c>
      <c r="N187" s="331" t="s">
        <v>4</v>
      </c>
      <c r="O187" s="332"/>
    </row>
    <row r="188" spans="2:15" x14ac:dyDescent="0.25">
      <c r="B188" s="65" t="s">
        <v>76</v>
      </c>
      <c r="C188" s="64" t="s">
        <v>75</v>
      </c>
      <c r="D188" s="65" t="s">
        <v>76</v>
      </c>
      <c r="E188" s="64" t="s">
        <v>75</v>
      </c>
      <c r="F188" s="65" t="s">
        <v>76</v>
      </c>
      <c r="G188" s="64" t="s">
        <v>75</v>
      </c>
      <c r="H188" s="65" t="s">
        <v>76</v>
      </c>
      <c r="I188" s="64" t="s">
        <v>75</v>
      </c>
      <c r="J188" s="65" t="s">
        <v>76</v>
      </c>
      <c r="K188" s="64" t="s">
        <v>75</v>
      </c>
      <c r="L188" s="65" t="s">
        <v>76</v>
      </c>
      <c r="M188" s="64" t="s">
        <v>75</v>
      </c>
      <c r="N188" s="65" t="s">
        <v>76</v>
      </c>
      <c r="O188" s="64" t="s">
        <v>75</v>
      </c>
    </row>
    <row r="189" spans="2:15" s="74" customFormat="1" ht="18" customHeight="1" x14ac:dyDescent="0.25">
      <c r="B189" s="72"/>
      <c r="C189" s="72"/>
      <c r="D189" s="72"/>
      <c r="E189" s="72"/>
      <c r="F189" s="72"/>
      <c r="G189" s="72"/>
      <c r="H189" s="72"/>
      <c r="I189" s="72"/>
      <c r="J189" s="72"/>
      <c r="K189" s="72"/>
      <c r="L189" s="72"/>
      <c r="M189" s="72"/>
      <c r="N189" s="72"/>
      <c r="O189" s="73"/>
    </row>
    <row r="190" spans="2:15" x14ac:dyDescent="0.25">
      <c r="B190" s="63" t="s">
        <v>74</v>
      </c>
      <c r="C190" s="76" t="s">
        <v>73</v>
      </c>
      <c r="D190" s="63" t="s">
        <v>74</v>
      </c>
      <c r="E190" s="76" t="s">
        <v>73</v>
      </c>
      <c r="F190" s="63" t="s">
        <v>74</v>
      </c>
      <c r="G190" s="76" t="s">
        <v>73</v>
      </c>
      <c r="H190" s="63" t="s">
        <v>74</v>
      </c>
      <c r="I190" s="76" t="s">
        <v>73</v>
      </c>
      <c r="J190" s="63" t="s">
        <v>74</v>
      </c>
      <c r="K190" s="76" t="s">
        <v>73</v>
      </c>
      <c r="L190" s="63" t="s">
        <v>74</v>
      </c>
      <c r="M190" s="76" t="s">
        <v>73</v>
      </c>
      <c r="N190" s="63" t="s">
        <v>74</v>
      </c>
      <c r="O190" s="76" t="s">
        <v>73</v>
      </c>
    </row>
    <row r="191" spans="2:15" s="74" customFormat="1" ht="18" customHeight="1" x14ac:dyDescent="0.25">
      <c r="B191" s="72"/>
      <c r="C191" s="72"/>
      <c r="D191" s="72"/>
      <c r="E191" s="72"/>
      <c r="F191" s="72"/>
      <c r="G191" s="72"/>
      <c r="H191" s="72"/>
      <c r="I191" s="72"/>
      <c r="J191" s="72"/>
      <c r="K191" s="72"/>
      <c r="L191" s="72"/>
      <c r="M191" s="72"/>
      <c r="N191" s="72"/>
      <c r="O191" s="73"/>
    </row>
    <row r="192" spans="2:15" s="71" customFormat="1" ht="13.5" x14ac:dyDescent="0.15">
      <c r="B192" s="70" t="s">
        <v>72</v>
      </c>
      <c r="C192" s="70" t="s">
        <v>72</v>
      </c>
      <c r="D192" s="70" t="s">
        <v>72</v>
      </c>
      <c r="E192" s="70" t="s">
        <v>72</v>
      </c>
      <c r="F192" s="70" t="s">
        <v>72</v>
      </c>
      <c r="G192" s="70" t="s">
        <v>72</v>
      </c>
      <c r="H192" s="70" t="s">
        <v>72</v>
      </c>
      <c r="I192" s="70" t="s">
        <v>72</v>
      </c>
      <c r="J192" s="70" t="s">
        <v>72</v>
      </c>
      <c r="K192" s="70" t="s">
        <v>72</v>
      </c>
      <c r="L192" s="70" t="s">
        <v>72</v>
      </c>
      <c r="M192" s="70" t="s">
        <v>72</v>
      </c>
      <c r="N192" s="70" t="s">
        <v>72</v>
      </c>
      <c r="O192" s="70" t="s">
        <v>72</v>
      </c>
    </row>
    <row r="193" spans="2:15" ht="28.5" customHeight="1" x14ac:dyDescent="0.25">
      <c r="B193" s="60"/>
      <c r="C193" s="60"/>
      <c r="D193" s="60"/>
      <c r="E193" s="60"/>
      <c r="F193" s="60"/>
      <c r="G193" s="60"/>
      <c r="H193" s="60"/>
      <c r="I193" s="60"/>
      <c r="J193" s="60"/>
      <c r="K193" s="60"/>
      <c r="L193" s="60"/>
      <c r="M193" s="60"/>
      <c r="N193" s="60"/>
      <c r="O193" s="60"/>
    </row>
    <row r="196" spans="2:15" ht="24" customHeight="1" x14ac:dyDescent="0.25">
      <c r="B196" s="14" t="s">
        <v>77</v>
      </c>
      <c r="C196" s="336"/>
      <c r="D196" s="336"/>
      <c r="E196" s="66"/>
      <c r="K196" s="337" t="s">
        <v>78</v>
      </c>
      <c r="L196" s="337"/>
      <c r="M196" s="75" t="s">
        <v>82</v>
      </c>
      <c r="N196" s="68"/>
      <c r="O196" s="67"/>
    </row>
    <row r="197" spans="2:15" x14ac:dyDescent="0.25">
      <c r="B197" s="338" t="s">
        <v>10</v>
      </c>
      <c r="C197" s="338"/>
      <c r="D197" s="339" t="s">
        <v>9</v>
      </c>
      <c r="E197" s="340"/>
      <c r="F197" s="341" t="s">
        <v>8</v>
      </c>
      <c r="G197" s="342"/>
      <c r="H197" s="343" t="s">
        <v>7</v>
      </c>
      <c r="I197" s="344"/>
      <c r="J197" s="345" t="s">
        <v>6</v>
      </c>
      <c r="K197" s="346"/>
      <c r="L197" s="347" t="s">
        <v>5</v>
      </c>
      <c r="M197" s="348"/>
      <c r="N197" s="331" t="s">
        <v>4</v>
      </c>
      <c r="O197" s="332"/>
    </row>
    <row r="198" spans="2:15" x14ac:dyDescent="0.25">
      <c r="B198" s="65" t="s">
        <v>76</v>
      </c>
      <c r="C198" s="64" t="s">
        <v>75</v>
      </c>
      <c r="D198" s="65" t="s">
        <v>76</v>
      </c>
      <c r="E198" s="64" t="s">
        <v>75</v>
      </c>
      <c r="F198" s="65" t="s">
        <v>76</v>
      </c>
      <c r="G198" s="64" t="s">
        <v>75</v>
      </c>
      <c r="H198" s="65" t="s">
        <v>76</v>
      </c>
      <c r="I198" s="64" t="s">
        <v>75</v>
      </c>
      <c r="J198" s="65" t="s">
        <v>76</v>
      </c>
      <c r="K198" s="64" t="s">
        <v>75</v>
      </c>
      <c r="L198" s="65" t="s">
        <v>76</v>
      </c>
      <c r="M198" s="64" t="s">
        <v>75</v>
      </c>
      <c r="N198" s="65" t="s">
        <v>76</v>
      </c>
      <c r="O198" s="64" t="s">
        <v>75</v>
      </c>
    </row>
    <row r="199" spans="2:15" x14ac:dyDescent="0.25">
      <c r="B199" s="62"/>
      <c r="C199" s="62"/>
      <c r="D199" s="62"/>
      <c r="E199" s="62"/>
      <c r="F199" s="62"/>
      <c r="G199" s="62"/>
      <c r="H199" s="62"/>
      <c r="I199" s="62"/>
      <c r="J199" s="62"/>
      <c r="K199" s="62"/>
      <c r="L199" s="62"/>
      <c r="M199" s="62"/>
      <c r="N199" s="62"/>
      <c r="O199" s="61"/>
    </row>
    <row r="200" spans="2:15" x14ac:dyDescent="0.25">
      <c r="B200" s="63" t="s">
        <v>74</v>
      </c>
      <c r="C200" s="76" t="s">
        <v>73</v>
      </c>
      <c r="D200" s="63" t="s">
        <v>74</v>
      </c>
      <c r="E200" s="76" t="s">
        <v>73</v>
      </c>
      <c r="F200" s="63" t="s">
        <v>74</v>
      </c>
      <c r="G200" s="76" t="s">
        <v>73</v>
      </c>
      <c r="H200" s="63" t="s">
        <v>74</v>
      </c>
      <c r="I200" s="76" t="s">
        <v>73</v>
      </c>
      <c r="J200" s="63" t="s">
        <v>74</v>
      </c>
      <c r="K200" s="76" t="s">
        <v>73</v>
      </c>
      <c r="L200" s="63" t="s">
        <v>74</v>
      </c>
      <c r="M200" s="76" t="s">
        <v>73</v>
      </c>
      <c r="N200" s="63" t="s">
        <v>74</v>
      </c>
      <c r="O200" s="76" t="s">
        <v>73</v>
      </c>
    </row>
    <row r="201" spans="2:15" x14ac:dyDescent="0.25">
      <c r="B201" s="62"/>
      <c r="C201" s="62"/>
      <c r="D201" s="62"/>
      <c r="E201" s="62"/>
      <c r="F201" s="62"/>
      <c r="G201" s="62"/>
      <c r="H201" s="62"/>
      <c r="I201" s="62"/>
      <c r="J201" s="62"/>
      <c r="K201" s="62"/>
      <c r="L201" s="62"/>
      <c r="M201" s="62"/>
      <c r="N201" s="62"/>
      <c r="O201" s="61"/>
    </row>
    <row r="202" spans="2:15" x14ac:dyDescent="0.25">
      <c r="B202" s="76" t="s">
        <v>72</v>
      </c>
      <c r="C202" s="76" t="s">
        <v>72</v>
      </c>
      <c r="D202" s="76" t="s">
        <v>72</v>
      </c>
      <c r="E202" s="76" t="s">
        <v>72</v>
      </c>
      <c r="F202" s="76" t="s">
        <v>72</v>
      </c>
      <c r="G202" s="76" t="s">
        <v>72</v>
      </c>
      <c r="H202" s="76" t="s">
        <v>72</v>
      </c>
      <c r="I202" s="76" t="s">
        <v>72</v>
      </c>
      <c r="J202" s="76" t="s">
        <v>72</v>
      </c>
      <c r="K202" s="76" t="s">
        <v>72</v>
      </c>
      <c r="L202" s="76" t="s">
        <v>72</v>
      </c>
      <c r="M202" s="76" t="s">
        <v>72</v>
      </c>
      <c r="N202" s="76" t="s">
        <v>72</v>
      </c>
      <c r="O202" s="76" t="s">
        <v>72</v>
      </c>
    </row>
    <row r="203" spans="2:15" ht="28.5" customHeight="1" x14ac:dyDescent="0.25">
      <c r="B203" s="60"/>
      <c r="C203" s="60"/>
      <c r="D203" s="60"/>
      <c r="E203" s="60"/>
      <c r="F203" s="60"/>
      <c r="G203" s="60"/>
      <c r="H203" s="60"/>
      <c r="I203" s="60"/>
      <c r="J203" s="60"/>
      <c r="K203" s="60"/>
      <c r="L203" s="60"/>
      <c r="M203" s="60"/>
      <c r="N203" s="60"/>
      <c r="O203" s="60"/>
    </row>
    <row r="206" spans="2:15" ht="24" customHeight="1" x14ac:dyDescent="0.25">
      <c r="B206" s="14" t="s">
        <v>77</v>
      </c>
      <c r="C206" s="336"/>
      <c r="D206" s="336"/>
      <c r="E206" s="66"/>
      <c r="K206" s="337" t="s">
        <v>78</v>
      </c>
      <c r="L206" s="337"/>
      <c r="M206" s="75" t="s">
        <v>82</v>
      </c>
      <c r="N206" s="68"/>
      <c r="O206" s="67"/>
    </row>
    <row r="207" spans="2:15" x14ac:dyDescent="0.25">
      <c r="B207" s="338" t="s">
        <v>10</v>
      </c>
      <c r="C207" s="338"/>
      <c r="D207" s="339" t="s">
        <v>9</v>
      </c>
      <c r="E207" s="340"/>
      <c r="F207" s="341" t="s">
        <v>8</v>
      </c>
      <c r="G207" s="342"/>
      <c r="H207" s="343" t="s">
        <v>7</v>
      </c>
      <c r="I207" s="344"/>
      <c r="J207" s="345" t="s">
        <v>6</v>
      </c>
      <c r="K207" s="346"/>
      <c r="L207" s="347" t="s">
        <v>5</v>
      </c>
      <c r="M207" s="348"/>
      <c r="N207" s="331" t="s">
        <v>4</v>
      </c>
      <c r="O207" s="332"/>
    </row>
    <row r="208" spans="2:15" x14ac:dyDescent="0.25">
      <c r="B208" s="65" t="s">
        <v>76</v>
      </c>
      <c r="C208" s="64" t="s">
        <v>75</v>
      </c>
      <c r="D208" s="65" t="s">
        <v>76</v>
      </c>
      <c r="E208" s="64" t="s">
        <v>75</v>
      </c>
      <c r="F208" s="65" t="s">
        <v>76</v>
      </c>
      <c r="G208" s="64" t="s">
        <v>75</v>
      </c>
      <c r="H208" s="65" t="s">
        <v>76</v>
      </c>
      <c r="I208" s="64" t="s">
        <v>75</v>
      </c>
      <c r="J208" s="65" t="s">
        <v>76</v>
      </c>
      <c r="K208" s="64" t="s">
        <v>75</v>
      </c>
      <c r="L208" s="65" t="s">
        <v>76</v>
      </c>
      <c r="M208" s="64" t="s">
        <v>75</v>
      </c>
      <c r="N208" s="65" t="s">
        <v>76</v>
      </c>
      <c r="O208" s="64" t="s">
        <v>75</v>
      </c>
    </row>
    <row r="209" spans="2:15" x14ac:dyDescent="0.25">
      <c r="B209" s="62"/>
      <c r="C209" s="62"/>
      <c r="D209" s="62"/>
      <c r="E209" s="62"/>
      <c r="F209" s="62"/>
      <c r="G209" s="62"/>
      <c r="H209" s="62"/>
      <c r="I209" s="62"/>
      <c r="J209" s="62"/>
      <c r="K209" s="62"/>
      <c r="L209" s="62"/>
      <c r="M209" s="62"/>
      <c r="N209" s="62"/>
      <c r="O209" s="61"/>
    </row>
    <row r="210" spans="2:15" x14ac:dyDescent="0.25">
      <c r="B210" s="63" t="s">
        <v>74</v>
      </c>
      <c r="C210" s="76" t="s">
        <v>73</v>
      </c>
      <c r="D210" s="63" t="s">
        <v>74</v>
      </c>
      <c r="E210" s="76" t="s">
        <v>73</v>
      </c>
      <c r="F210" s="63" t="s">
        <v>74</v>
      </c>
      <c r="G210" s="76" t="s">
        <v>73</v>
      </c>
      <c r="H210" s="63" t="s">
        <v>74</v>
      </c>
      <c r="I210" s="76" t="s">
        <v>73</v>
      </c>
      <c r="J210" s="63" t="s">
        <v>74</v>
      </c>
      <c r="K210" s="76" t="s">
        <v>73</v>
      </c>
      <c r="L210" s="63" t="s">
        <v>74</v>
      </c>
      <c r="M210" s="76" t="s">
        <v>73</v>
      </c>
      <c r="N210" s="63" t="s">
        <v>74</v>
      </c>
      <c r="O210" s="76" t="s">
        <v>73</v>
      </c>
    </row>
    <row r="211" spans="2:15" x14ac:dyDescent="0.25">
      <c r="B211" s="62"/>
      <c r="C211" s="62"/>
      <c r="D211" s="62"/>
      <c r="E211" s="62"/>
      <c r="F211" s="62"/>
      <c r="G211" s="62"/>
      <c r="H211" s="62"/>
      <c r="I211" s="62"/>
      <c r="J211" s="62"/>
      <c r="K211" s="62"/>
      <c r="L211" s="62"/>
      <c r="M211" s="62"/>
      <c r="N211" s="62"/>
      <c r="O211" s="61"/>
    </row>
    <row r="212" spans="2:15" s="71" customFormat="1" ht="13.5" x14ac:dyDescent="0.15">
      <c r="B212" s="70" t="s">
        <v>72</v>
      </c>
      <c r="C212" s="70" t="s">
        <v>72</v>
      </c>
      <c r="D212" s="70" t="s">
        <v>72</v>
      </c>
      <c r="E212" s="70" t="s">
        <v>72</v>
      </c>
      <c r="F212" s="70" t="s">
        <v>72</v>
      </c>
      <c r="G212" s="70" t="s">
        <v>72</v>
      </c>
      <c r="H212" s="70" t="s">
        <v>72</v>
      </c>
      <c r="I212" s="70" t="s">
        <v>72</v>
      </c>
      <c r="J212" s="70" t="s">
        <v>72</v>
      </c>
      <c r="K212" s="70" t="s">
        <v>72</v>
      </c>
      <c r="L212" s="70" t="s">
        <v>72</v>
      </c>
      <c r="M212" s="70" t="s">
        <v>72</v>
      </c>
      <c r="N212" s="70" t="s">
        <v>72</v>
      </c>
      <c r="O212" s="70" t="s">
        <v>72</v>
      </c>
    </row>
    <row r="213" spans="2:15" ht="28.5" customHeight="1" x14ac:dyDescent="0.25">
      <c r="B213" s="60"/>
      <c r="C213" s="60"/>
      <c r="D213" s="60"/>
      <c r="E213" s="60"/>
      <c r="F213" s="60"/>
      <c r="G213" s="60"/>
      <c r="H213" s="60"/>
      <c r="I213" s="60"/>
      <c r="J213" s="60"/>
      <c r="K213" s="60"/>
      <c r="L213" s="60"/>
      <c r="M213" s="60"/>
      <c r="N213" s="60"/>
      <c r="O213" s="60"/>
    </row>
    <row r="215" spans="2:15" ht="24" customHeight="1" x14ac:dyDescent="0.25">
      <c r="B215" s="14" t="s">
        <v>77</v>
      </c>
      <c r="C215" s="336"/>
      <c r="D215" s="336"/>
      <c r="E215" s="66"/>
      <c r="K215" s="337" t="s">
        <v>78</v>
      </c>
      <c r="L215" s="337"/>
      <c r="M215" s="75" t="s">
        <v>82</v>
      </c>
      <c r="N215" s="68"/>
      <c r="O215" s="67"/>
    </row>
    <row r="216" spans="2:15" x14ac:dyDescent="0.25">
      <c r="B216" s="338" t="s">
        <v>10</v>
      </c>
      <c r="C216" s="338"/>
      <c r="D216" s="339" t="s">
        <v>9</v>
      </c>
      <c r="E216" s="340"/>
      <c r="F216" s="341" t="s">
        <v>8</v>
      </c>
      <c r="G216" s="342"/>
      <c r="H216" s="343" t="s">
        <v>7</v>
      </c>
      <c r="I216" s="344"/>
      <c r="J216" s="345" t="s">
        <v>6</v>
      </c>
      <c r="K216" s="346"/>
      <c r="L216" s="347" t="s">
        <v>5</v>
      </c>
      <c r="M216" s="348" t="s">
        <v>81</v>
      </c>
      <c r="N216" s="331" t="s">
        <v>4</v>
      </c>
      <c r="O216" s="332"/>
    </row>
    <row r="217" spans="2:15" x14ac:dyDescent="0.25">
      <c r="B217" s="65" t="s">
        <v>76</v>
      </c>
      <c r="C217" s="64" t="s">
        <v>75</v>
      </c>
      <c r="D217" s="65" t="s">
        <v>76</v>
      </c>
      <c r="E217" s="64" t="s">
        <v>75</v>
      </c>
      <c r="F217" s="65" t="s">
        <v>76</v>
      </c>
      <c r="G217" s="64" t="s">
        <v>75</v>
      </c>
      <c r="H217" s="65" t="s">
        <v>76</v>
      </c>
      <c r="I217" s="64" t="s">
        <v>75</v>
      </c>
      <c r="J217" s="65" t="s">
        <v>76</v>
      </c>
      <c r="K217" s="64" t="s">
        <v>75</v>
      </c>
      <c r="L217" s="65" t="s">
        <v>76</v>
      </c>
      <c r="M217" s="64" t="s">
        <v>75</v>
      </c>
      <c r="N217" s="65" t="s">
        <v>76</v>
      </c>
      <c r="O217" s="64" t="s">
        <v>75</v>
      </c>
    </row>
    <row r="218" spans="2:15" s="74" customFormat="1" ht="18" customHeight="1" x14ac:dyDescent="0.25">
      <c r="B218" s="72"/>
      <c r="C218" s="72"/>
      <c r="D218" s="72"/>
      <c r="E218" s="72"/>
      <c r="F218" s="72"/>
      <c r="G218" s="72"/>
      <c r="H218" s="72"/>
      <c r="I218" s="72"/>
      <c r="J218" s="72"/>
      <c r="K218" s="72"/>
      <c r="L218" s="72"/>
      <c r="M218" s="72"/>
      <c r="N218" s="72"/>
      <c r="O218" s="73"/>
    </row>
    <row r="219" spans="2:15" x14ac:dyDescent="0.25">
      <c r="B219" s="63" t="s">
        <v>74</v>
      </c>
      <c r="C219" s="76" t="s">
        <v>73</v>
      </c>
      <c r="D219" s="63" t="s">
        <v>74</v>
      </c>
      <c r="E219" s="76" t="s">
        <v>73</v>
      </c>
      <c r="F219" s="63" t="s">
        <v>74</v>
      </c>
      <c r="G219" s="76" t="s">
        <v>73</v>
      </c>
      <c r="H219" s="63" t="s">
        <v>74</v>
      </c>
      <c r="I219" s="76" t="s">
        <v>73</v>
      </c>
      <c r="J219" s="63" t="s">
        <v>74</v>
      </c>
      <c r="K219" s="76" t="s">
        <v>73</v>
      </c>
      <c r="L219" s="63" t="s">
        <v>74</v>
      </c>
      <c r="M219" s="76" t="s">
        <v>73</v>
      </c>
      <c r="N219" s="63" t="s">
        <v>74</v>
      </c>
      <c r="O219" s="76" t="s">
        <v>73</v>
      </c>
    </row>
    <row r="220" spans="2:15" s="74" customFormat="1" ht="18" customHeight="1" x14ac:dyDescent="0.25">
      <c r="B220" s="72"/>
      <c r="C220" s="72"/>
      <c r="D220" s="72"/>
      <c r="E220" s="72"/>
      <c r="F220" s="72"/>
      <c r="G220" s="72"/>
      <c r="H220" s="72"/>
      <c r="I220" s="72"/>
      <c r="J220" s="72"/>
      <c r="K220" s="72"/>
      <c r="L220" s="72"/>
      <c r="M220" s="72"/>
      <c r="N220" s="72"/>
      <c r="O220" s="73"/>
    </row>
    <row r="221" spans="2:15" s="71" customFormat="1" ht="13.5" x14ac:dyDescent="0.15">
      <c r="B221" s="70" t="s">
        <v>72</v>
      </c>
      <c r="C221" s="70" t="s">
        <v>72</v>
      </c>
      <c r="D221" s="70" t="s">
        <v>72</v>
      </c>
      <c r="E221" s="70" t="s">
        <v>72</v>
      </c>
      <c r="F221" s="70" t="s">
        <v>72</v>
      </c>
      <c r="G221" s="70" t="s">
        <v>72</v>
      </c>
      <c r="H221" s="70" t="s">
        <v>72</v>
      </c>
      <c r="I221" s="70" t="s">
        <v>72</v>
      </c>
      <c r="J221" s="70" t="s">
        <v>72</v>
      </c>
      <c r="K221" s="70" t="s">
        <v>72</v>
      </c>
      <c r="L221" s="70" t="s">
        <v>72</v>
      </c>
      <c r="M221" s="70" t="s">
        <v>72</v>
      </c>
      <c r="N221" s="70" t="s">
        <v>72</v>
      </c>
      <c r="O221" s="70" t="s">
        <v>72</v>
      </c>
    </row>
    <row r="222" spans="2:15" ht="28.5" customHeight="1" x14ac:dyDescent="0.25">
      <c r="B222" s="60"/>
      <c r="C222" s="60"/>
      <c r="D222" s="60"/>
      <c r="E222" s="60"/>
      <c r="F222" s="60"/>
      <c r="G222" s="60"/>
      <c r="H222" s="60"/>
      <c r="I222" s="60"/>
      <c r="J222" s="60"/>
      <c r="K222" s="60"/>
      <c r="L222" s="60"/>
      <c r="M222" s="60"/>
      <c r="N222" s="60"/>
      <c r="O222" s="60"/>
    </row>
    <row r="225" spans="2:15" ht="24" customHeight="1" x14ac:dyDescent="0.25">
      <c r="B225" s="14" t="s">
        <v>77</v>
      </c>
      <c r="C225" s="336"/>
      <c r="D225" s="336"/>
      <c r="E225" s="66"/>
      <c r="K225" s="337" t="s">
        <v>78</v>
      </c>
      <c r="L225" s="337"/>
      <c r="M225" s="75" t="s">
        <v>82</v>
      </c>
      <c r="N225" s="68"/>
      <c r="O225" s="67"/>
    </row>
    <row r="226" spans="2:15" x14ac:dyDescent="0.25">
      <c r="B226" s="338" t="s">
        <v>10</v>
      </c>
      <c r="C226" s="338"/>
      <c r="D226" s="339" t="s">
        <v>9</v>
      </c>
      <c r="E226" s="340"/>
      <c r="F226" s="341" t="s">
        <v>8</v>
      </c>
      <c r="G226" s="342"/>
      <c r="H226" s="343" t="s">
        <v>7</v>
      </c>
      <c r="I226" s="344"/>
      <c r="J226" s="345" t="s">
        <v>6</v>
      </c>
      <c r="K226" s="346"/>
      <c r="L226" s="347" t="s">
        <v>5</v>
      </c>
      <c r="M226" s="348"/>
      <c r="N226" s="331" t="s">
        <v>4</v>
      </c>
      <c r="O226" s="332"/>
    </row>
    <row r="227" spans="2:15" x14ac:dyDescent="0.25">
      <c r="B227" s="65" t="s">
        <v>76</v>
      </c>
      <c r="C227" s="64" t="s">
        <v>75</v>
      </c>
      <c r="D227" s="65" t="s">
        <v>76</v>
      </c>
      <c r="E227" s="64" t="s">
        <v>75</v>
      </c>
      <c r="F227" s="65" t="s">
        <v>76</v>
      </c>
      <c r="G227" s="64" t="s">
        <v>75</v>
      </c>
      <c r="H227" s="65" t="s">
        <v>76</v>
      </c>
      <c r="I227" s="64" t="s">
        <v>75</v>
      </c>
      <c r="J227" s="65" t="s">
        <v>76</v>
      </c>
      <c r="K227" s="64" t="s">
        <v>75</v>
      </c>
      <c r="L227" s="65" t="s">
        <v>76</v>
      </c>
      <c r="M227" s="64" t="s">
        <v>75</v>
      </c>
      <c r="N227" s="65" t="s">
        <v>76</v>
      </c>
      <c r="O227" s="64" t="s">
        <v>75</v>
      </c>
    </row>
    <row r="228" spans="2:15" x14ac:dyDescent="0.25">
      <c r="B228" s="62"/>
      <c r="C228" s="62"/>
      <c r="D228" s="62"/>
      <c r="E228" s="62"/>
      <c r="F228" s="62"/>
      <c r="G228" s="62"/>
      <c r="H228" s="62"/>
      <c r="I228" s="62"/>
      <c r="J228" s="62"/>
      <c r="K228" s="62"/>
      <c r="L228" s="62"/>
      <c r="M228" s="62"/>
      <c r="N228" s="62"/>
      <c r="O228" s="61"/>
    </row>
    <row r="229" spans="2:15" x14ac:dyDescent="0.25">
      <c r="B229" s="63" t="s">
        <v>74</v>
      </c>
      <c r="C229" s="76" t="s">
        <v>73</v>
      </c>
      <c r="D229" s="63" t="s">
        <v>74</v>
      </c>
      <c r="E229" s="76" t="s">
        <v>73</v>
      </c>
      <c r="F229" s="63" t="s">
        <v>74</v>
      </c>
      <c r="G229" s="76" t="s">
        <v>73</v>
      </c>
      <c r="H229" s="63" t="s">
        <v>74</v>
      </c>
      <c r="I229" s="76" t="s">
        <v>73</v>
      </c>
      <c r="J229" s="63" t="s">
        <v>74</v>
      </c>
      <c r="K229" s="76" t="s">
        <v>73</v>
      </c>
      <c r="L229" s="63" t="s">
        <v>74</v>
      </c>
      <c r="M229" s="76" t="s">
        <v>73</v>
      </c>
      <c r="N229" s="63" t="s">
        <v>74</v>
      </c>
      <c r="O229" s="76" t="s">
        <v>73</v>
      </c>
    </row>
    <row r="230" spans="2:15" x14ac:dyDescent="0.25">
      <c r="B230" s="62"/>
      <c r="C230" s="62"/>
      <c r="D230" s="62"/>
      <c r="E230" s="62"/>
      <c r="F230" s="62"/>
      <c r="G230" s="62"/>
      <c r="H230" s="62"/>
      <c r="I230" s="62"/>
      <c r="J230" s="62"/>
      <c r="K230" s="62"/>
      <c r="L230" s="62"/>
      <c r="M230" s="62"/>
      <c r="N230" s="62"/>
      <c r="O230" s="61"/>
    </row>
    <row r="231" spans="2:15" x14ac:dyDescent="0.25">
      <c r="B231" s="76" t="s">
        <v>72</v>
      </c>
      <c r="C231" s="76" t="s">
        <v>72</v>
      </c>
      <c r="D231" s="76" t="s">
        <v>72</v>
      </c>
      <c r="E231" s="76" t="s">
        <v>72</v>
      </c>
      <c r="F231" s="76" t="s">
        <v>72</v>
      </c>
      <c r="G231" s="76" t="s">
        <v>72</v>
      </c>
      <c r="H231" s="76" t="s">
        <v>72</v>
      </c>
      <c r="I231" s="76" t="s">
        <v>72</v>
      </c>
      <c r="J231" s="76" t="s">
        <v>72</v>
      </c>
      <c r="K231" s="76" t="s">
        <v>72</v>
      </c>
      <c r="L231" s="76" t="s">
        <v>72</v>
      </c>
      <c r="M231" s="76" t="s">
        <v>72</v>
      </c>
      <c r="N231" s="76" t="s">
        <v>72</v>
      </c>
      <c r="O231" s="76" t="s">
        <v>72</v>
      </c>
    </row>
    <row r="232" spans="2:15" ht="28.5" customHeight="1" x14ac:dyDescent="0.25">
      <c r="B232" s="60"/>
      <c r="C232" s="60"/>
      <c r="D232" s="60"/>
      <c r="E232" s="60"/>
      <c r="F232" s="60"/>
      <c r="G232" s="60"/>
      <c r="H232" s="60"/>
      <c r="I232" s="60"/>
      <c r="J232" s="60"/>
      <c r="K232" s="60"/>
      <c r="L232" s="60"/>
      <c r="M232" s="60"/>
      <c r="N232" s="60"/>
      <c r="O232" s="60"/>
    </row>
    <row r="234" spans="2:15" ht="15.75" customHeight="1" x14ac:dyDescent="0.25"/>
    <row r="235" spans="2:15" ht="24" customHeight="1" x14ac:dyDescent="0.25">
      <c r="B235" s="14" t="s">
        <v>77</v>
      </c>
      <c r="C235" s="336"/>
      <c r="D235" s="336"/>
      <c r="E235" s="66"/>
      <c r="K235" s="337" t="s">
        <v>78</v>
      </c>
      <c r="L235" s="337"/>
      <c r="M235" s="75" t="s">
        <v>82</v>
      </c>
      <c r="N235" s="68"/>
      <c r="O235" s="67"/>
    </row>
    <row r="236" spans="2:15" x14ac:dyDescent="0.25">
      <c r="B236" s="338" t="s">
        <v>10</v>
      </c>
      <c r="C236" s="338"/>
      <c r="D236" s="339" t="s">
        <v>9</v>
      </c>
      <c r="E236" s="340"/>
      <c r="F236" s="341" t="s">
        <v>8</v>
      </c>
      <c r="G236" s="342"/>
      <c r="H236" s="343" t="s">
        <v>7</v>
      </c>
      <c r="I236" s="344"/>
      <c r="J236" s="345" t="s">
        <v>6</v>
      </c>
      <c r="K236" s="346"/>
      <c r="L236" s="347" t="s">
        <v>5</v>
      </c>
      <c r="M236" s="348"/>
      <c r="N236" s="331" t="s">
        <v>4</v>
      </c>
      <c r="O236" s="332"/>
    </row>
    <row r="237" spans="2:15" x14ac:dyDescent="0.25">
      <c r="B237" s="65" t="s">
        <v>76</v>
      </c>
      <c r="C237" s="64" t="s">
        <v>75</v>
      </c>
      <c r="D237" s="65" t="s">
        <v>76</v>
      </c>
      <c r="E237" s="64" t="s">
        <v>75</v>
      </c>
      <c r="F237" s="65" t="s">
        <v>76</v>
      </c>
      <c r="G237" s="64" t="s">
        <v>75</v>
      </c>
      <c r="H237" s="65" t="s">
        <v>76</v>
      </c>
      <c r="I237" s="64" t="s">
        <v>75</v>
      </c>
      <c r="J237" s="65" t="s">
        <v>76</v>
      </c>
      <c r="K237" s="64" t="s">
        <v>75</v>
      </c>
      <c r="L237" s="65" t="s">
        <v>76</v>
      </c>
      <c r="M237" s="64" t="s">
        <v>75</v>
      </c>
      <c r="N237" s="65" t="s">
        <v>76</v>
      </c>
      <c r="O237" s="64" t="s">
        <v>75</v>
      </c>
    </row>
    <row r="238" spans="2:15" x14ac:dyDescent="0.25">
      <c r="B238" s="62"/>
      <c r="C238" s="62"/>
      <c r="D238" s="62"/>
      <c r="E238" s="62"/>
      <c r="F238" s="62"/>
      <c r="G238" s="62"/>
      <c r="H238" s="62"/>
      <c r="I238" s="62"/>
      <c r="J238" s="62"/>
      <c r="K238" s="62"/>
      <c r="L238" s="62"/>
      <c r="M238" s="62"/>
      <c r="N238" s="62"/>
      <c r="O238" s="61"/>
    </row>
    <row r="239" spans="2:15" x14ac:dyDescent="0.25">
      <c r="B239" s="63" t="s">
        <v>74</v>
      </c>
      <c r="C239" s="76" t="s">
        <v>73</v>
      </c>
      <c r="D239" s="63" t="s">
        <v>74</v>
      </c>
      <c r="E239" s="76" t="s">
        <v>73</v>
      </c>
      <c r="F239" s="63" t="s">
        <v>74</v>
      </c>
      <c r="G239" s="76" t="s">
        <v>73</v>
      </c>
      <c r="H239" s="63" t="s">
        <v>74</v>
      </c>
      <c r="I239" s="76" t="s">
        <v>73</v>
      </c>
      <c r="J239" s="63" t="s">
        <v>74</v>
      </c>
      <c r="K239" s="76" t="s">
        <v>73</v>
      </c>
      <c r="L239" s="63" t="s">
        <v>74</v>
      </c>
      <c r="M239" s="76" t="s">
        <v>73</v>
      </c>
      <c r="N239" s="63" t="s">
        <v>74</v>
      </c>
      <c r="O239" s="76" t="s">
        <v>73</v>
      </c>
    </row>
    <row r="240" spans="2:15" x14ac:dyDescent="0.25">
      <c r="B240" s="62"/>
      <c r="C240" s="62"/>
      <c r="D240" s="62"/>
      <c r="E240" s="62"/>
      <c r="F240" s="62"/>
      <c r="G240" s="62"/>
      <c r="H240" s="62"/>
      <c r="I240" s="62"/>
      <c r="J240" s="62"/>
      <c r="K240" s="62"/>
      <c r="L240" s="62"/>
      <c r="M240" s="62"/>
      <c r="N240" s="62"/>
      <c r="O240" s="61"/>
    </row>
    <row r="241" spans="2:15" s="71" customFormat="1" ht="13.5" x14ac:dyDescent="0.15">
      <c r="B241" s="70" t="s">
        <v>72</v>
      </c>
      <c r="C241" s="70" t="s">
        <v>72</v>
      </c>
      <c r="D241" s="70" t="s">
        <v>72</v>
      </c>
      <c r="E241" s="70" t="s">
        <v>72</v>
      </c>
      <c r="F241" s="70" t="s">
        <v>72</v>
      </c>
      <c r="G241" s="70" t="s">
        <v>72</v>
      </c>
      <c r="H241" s="70" t="s">
        <v>72</v>
      </c>
      <c r="I241" s="70" t="s">
        <v>72</v>
      </c>
      <c r="J241" s="70" t="s">
        <v>72</v>
      </c>
      <c r="K241" s="70" t="s">
        <v>72</v>
      </c>
      <c r="L241" s="70" t="s">
        <v>72</v>
      </c>
      <c r="M241" s="70" t="s">
        <v>72</v>
      </c>
      <c r="N241" s="70" t="s">
        <v>72</v>
      </c>
      <c r="O241" s="70" t="s">
        <v>72</v>
      </c>
    </row>
    <row r="242" spans="2:15" ht="28.5" customHeight="1" x14ac:dyDescent="0.25">
      <c r="B242" s="60"/>
      <c r="C242" s="60"/>
      <c r="D242" s="60"/>
      <c r="E242" s="60"/>
      <c r="F242" s="60"/>
      <c r="G242" s="60"/>
      <c r="H242" s="60"/>
      <c r="I242" s="60"/>
      <c r="J242" s="60"/>
      <c r="K242" s="60"/>
      <c r="L242" s="60"/>
      <c r="M242" s="60"/>
      <c r="N242" s="60"/>
      <c r="O242" s="60"/>
    </row>
    <row r="244" spans="2:15" ht="24" customHeight="1" x14ac:dyDescent="0.25">
      <c r="B244" s="14" t="s">
        <v>77</v>
      </c>
      <c r="C244" s="336"/>
      <c r="D244" s="336"/>
      <c r="E244" s="66"/>
      <c r="K244" s="337" t="s">
        <v>78</v>
      </c>
      <c r="L244" s="337"/>
      <c r="M244" s="75" t="s">
        <v>82</v>
      </c>
      <c r="N244" s="68"/>
      <c r="O244" s="67"/>
    </row>
    <row r="245" spans="2:15" x14ac:dyDescent="0.25">
      <c r="B245" s="338" t="s">
        <v>10</v>
      </c>
      <c r="C245" s="338"/>
      <c r="D245" s="339" t="s">
        <v>9</v>
      </c>
      <c r="E245" s="340"/>
      <c r="F245" s="341" t="s">
        <v>8</v>
      </c>
      <c r="G245" s="342"/>
      <c r="H245" s="343" t="s">
        <v>7</v>
      </c>
      <c r="I245" s="344"/>
      <c r="J245" s="345" t="s">
        <v>6</v>
      </c>
      <c r="K245" s="346"/>
      <c r="L245" s="347" t="s">
        <v>5</v>
      </c>
      <c r="M245" s="348" t="s">
        <v>81</v>
      </c>
      <c r="N245" s="331" t="s">
        <v>4</v>
      </c>
      <c r="O245" s="332"/>
    </row>
    <row r="246" spans="2:15" x14ac:dyDescent="0.25">
      <c r="B246" s="65" t="s">
        <v>76</v>
      </c>
      <c r="C246" s="64" t="s">
        <v>75</v>
      </c>
      <c r="D246" s="65" t="s">
        <v>76</v>
      </c>
      <c r="E246" s="64" t="s">
        <v>75</v>
      </c>
      <c r="F246" s="65" t="s">
        <v>76</v>
      </c>
      <c r="G246" s="64" t="s">
        <v>75</v>
      </c>
      <c r="H246" s="65" t="s">
        <v>76</v>
      </c>
      <c r="I246" s="64" t="s">
        <v>75</v>
      </c>
      <c r="J246" s="65" t="s">
        <v>76</v>
      </c>
      <c r="K246" s="64" t="s">
        <v>75</v>
      </c>
      <c r="L246" s="65" t="s">
        <v>76</v>
      </c>
      <c r="M246" s="64" t="s">
        <v>75</v>
      </c>
      <c r="N246" s="65" t="s">
        <v>76</v>
      </c>
      <c r="O246" s="64" t="s">
        <v>75</v>
      </c>
    </row>
    <row r="247" spans="2:15" s="74" customFormat="1" ht="18" customHeight="1" x14ac:dyDescent="0.25">
      <c r="B247" s="72"/>
      <c r="C247" s="72"/>
      <c r="D247" s="72"/>
      <c r="E247" s="72"/>
      <c r="F247" s="72"/>
      <c r="G247" s="72"/>
      <c r="H247" s="72"/>
      <c r="I247" s="72"/>
      <c r="J247" s="72"/>
      <c r="K247" s="72"/>
      <c r="L247" s="72"/>
      <c r="M247" s="72"/>
      <c r="N247" s="72"/>
      <c r="O247" s="73"/>
    </row>
    <row r="248" spans="2:15" x14ac:dyDescent="0.25">
      <c r="B248" s="63" t="s">
        <v>74</v>
      </c>
      <c r="C248" s="76" t="s">
        <v>73</v>
      </c>
      <c r="D248" s="63" t="s">
        <v>74</v>
      </c>
      <c r="E248" s="76" t="s">
        <v>73</v>
      </c>
      <c r="F248" s="63" t="s">
        <v>74</v>
      </c>
      <c r="G248" s="76" t="s">
        <v>73</v>
      </c>
      <c r="H248" s="63" t="s">
        <v>74</v>
      </c>
      <c r="I248" s="76" t="s">
        <v>73</v>
      </c>
      <c r="J248" s="63" t="s">
        <v>74</v>
      </c>
      <c r="K248" s="76" t="s">
        <v>73</v>
      </c>
      <c r="L248" s="63" t="s">
        <v>74</v>
      </c>
      <c r="M248" s="76" t="s">
        <v>73</v>
      </c>
      <c r="N248" s="63" t="s">
        <v>74</v>
      </c>
      <c r="O248" s="76" t="s">
        <v>73</v>
      </c>
    </row>
    <row r="249" spans="2:15" s="74" customFormat="1" ht="18" customHeight="1" x14ac:dyDescent="0.25">
      <c r="B249" s="72"/>
      <c r="C249" s="72"/>
      <c r="D249" s="72"/>
      <c r="E249" s="72"/>
      <c r="F249" s="72"/>
      <c r="G249" s="72"/>
      <c r="H249" s="72"/>
      <c r="I249" s="72"/>
      <c r="J249" s="72"/>
      <c r="K249" s="72"/>
      <c r="L249" s="72"/>
      <c r="M249" s="72"/>
      <c r="N249" s="72"/>
      <c r="O249" s="73"/>
    </row>
    <row r="250" spans="2:15" s="71" customFormat="1" ht="13.5" x14ac:dyDescent="0.15">
      <c r="B250" s="70" t="s">
        <v>72</v>
      </c>
      <c r="C250" s="70" t="s">
        <v>72</v>
      </c>
      <c r="D250" s="70" t="s">
        <v>72</v>
      </c>
      <c r="E250" s="70" t="s">
        <v>72</v>
      </c>
      <c r="F250" s="70" t="s">
        <v>72</v>
      </c>
      <c r="G250" s="70" t="s">
        <v>72</v>
      </c>
      <c r="H250" s="70" t="s">
        <v>72</v>
      </c>
      <c r="I250" s="70" t="s">
        <v>72</v>
      </c>
      <c r="J250" s="70" t="s">
        <v>72</v>
      </c>
      <c r="K250" s="70" t="s">
        <v>72</v>
      </c>
      <c r="L250" s="70" t="s">
        <v>72</v>
      </c>
      <c r="M250" s="70" t="s">
        <v>72</v>
      </c>
      <c r="N250" s="70" t="s">
        <v>72</v>
      </c>
      <c r="O250" s="70" t="s">
        <v>72</v>
      </c>
    </row>
    <row r="251" spans="2:15" ht="28.5" customHeight="1" x14ac:dyDescent="0.25">
      <c r="B251" s="60"/>
      <c r="C251" s="60"/>
      <c r="D251" s="60"/>
      <c r="E251" s="60"/>
      <c r="F251" s="60"/>
      <c r="G251" s="60"/>
      <c r="H251" s="60"/>
      <c r="I251" s="60"/>
      <c r="J251" s="60"/>
      <c r="K251" s="60"/>
      <c r="L251" s="60"/>
      <c r="M251" s="60"/>
      <c r="N251" s="60"/>
      <c r="O251" s="60"/>
    </row>
    <row r="254" spans="2:15" ht="24" customHeight="1" x14ac:dyDescent="0.25">
      <c r="B254" s="14" t="s">
        <v>77</v>
      </c>
      <c r="C254" s="336"/>
      <c r="D254" s="336"/>
      <c r="E254" s="66"/>
      <c r="K254" s="337" t="s">
        <v>78</v>
      </c>
      <c r="L254" s="337"/>
      <c r="M254" s="75" t="s">
        <v>82</v>
      </c>
      <c r="N254" s="68"/>
      <c r="O254" s="67"/>
    </row>
    <row r="255" spans="2:15" x14ac:dyDescent="0.25">
      <c r="B255" s="338" t="s">
        <v>10</v>
      </c>
      <c r="C255" s="338"/>
      <c r="D255" s="339" t="s">
        <v>9</v>
      </c>
      <c r="E255" s="340"/>
      <c r="F255" s="341" t="s">
        <v>8</v>
      </c>
      <c r="G255" s="342"/>
      <c r="H255" s="343" t="s">
        <v>7</v>
      </c>
      <c r="I255" s="344"/>
      <c r="J255" s="345" t="s">
        <v>6</v>
      </c>
      <c r="K255" s="346"/>
      <c r="L255" s="347" t="s">
        <v>5</v>
      </c>
      <c r="M255" s="348"/>
      <c r="N255" s="331" t="s">
        <v>4</v>
      </c>
      <c r="O255" s="332"/>
    </row>
    <row r="256" spans="2:15" x14ac:dyDescent="0.25">
      <c r="B256" s="65" t="s">
        <v>76</v>
      </c>
      <c r="C256" s="64" t="s">
        <v>75</v>
      </c>
      <c r="D256" s="65" t="s">
        <v>76</v>
      </c>
      <c r="E256" s="64" t="s">
        <v>75</v>
      </c>
      <c r="F256" s="65" t="s">
        <v>76</v>
      </c>
      <c r="G256" s="64" t="s">
        <v>75</v>
      </c>
      <c r="H256" s="65" t="s">
        <v>76</v>
      </c>
      <c r="I256" s="64" t="s">
        <v>75</v>
      </c>
      <c r="J256" s="65" t="s">
        <v>76</v>
      </c>
      <c r="K256" s="64" t="s">
        <v>75</v>
      </c>
      <c r="L256" s="65" t="s">
        <v>76</v>
      </c>
      <c r="M256" s="64" t="s">
        <v>75</v>
      </c>
      <c r="N256" s="65" t="s">
        <v>76</v>
      </c>
      <c r="O256" s="64" t="s">
        <v>75</v>
      </c>
    </row>
    <row r="257" spans="2:15" x14ac:dyDescent="0.25">
      <c r="B257" s="62"/>
      <c r="C257" s="62"/>
      <c r="D257" s="62"/>
      <c r="E257" s="62"/>
      <c r="F257" s="62"/>
      <c r="G257" s="62"/>
      <c r="H257" s="62"/>
      <c r="I257" s="62"/>
      <c r="J257" s="62"/>
      <c r="K257" s="62"/>
      <c r="L257" s="62"/>
      <c r="M257" s="62"/>
      <c r="N257" s="62"/>
      <c r="O257" s="61"/>
    </row>
    <row r="258" spans="2:15" x14ac:dyDescent="0.25">
      <c r="B258" s="63" t="s">
        <v>74</v>
      </c>
      <c r="C258" s="76" t="s">
        <v>73</v>
      </c>
      <c r="D258" s="63" t="s">
        <v>74</v>
      </c>
      <c r="E258" s="76" t="s">
        <v>73</v>
      </c>
      <c r="F258" s="63" t="s">
        <v>74</v>
      </c>
      <c r="G258" s="76" t="s">
        <v>73</v>
      </c>
      <c r="H258" s="63" t="s">
        <v>74</v>
      </c>
      <c r="I258" s="76" t="s">
        <v>73</v>
      </c>
      <c r="J258" s="63" t="s">
        <v>74</v>
      </c>
      <c r="K258" s="76" t="s">
        <v>73</v>
      </c>
      <c r="L258" s="63" t="s">
        <v>74</v>
      </c>
      <c r="M258" s="76" t="s">
        <v>73</v>
      </c>
      <c r="N258" s="63" t="s">
        <v>74</v>
      </c>
      <c r="O258" s="76" t="s">
        <v>73</v>
      </c>
    </row>
    <row r="259" spans="2:15" x14ac:dyDescent="0.25">
      <c r="B259" s="62"/>
      <c r="C259" s="62"/>
      <c r="D259" s="62"/>
      <c r="E259" s="62"/>
      <c r="F259" s="62"/>
      <c r="G259" s="62"/>
      <c r="H259" s="62"/>
      <c r="I259" s="62"/>
      <c r="J259" s="62"/>
      <c r="K259" s="62"/>
      <c r="L259" s="62"/>
      <c r="M259" s="62"/>
      <c r="N259" s="62"/>
      <c r="O259" s="61"/>
    </row>
    <row r="260" spans="2:15" x14ac:dyDescent="0.25">
      <c r="B260" s="76" t="s">
        <v>72</v>
      </c>
      <c r="C260" s="76" t="s">
        <v>72</v>
      </c>
      <c r="D260" s="76" t="s">
        <v>72</v>
      </c>
      <c r="E260" s="76" t="s">
        <v>72</v>
      </c>
      <c r="F260" s="76" t="s">
        <v>72</v>
      </c>
      <c r="G260" s="76" t="s">
        <v>72</v>
      </c>
      <c r="H260" s="76" t="s">
        <v>72</v>
      </c>
      <c r="I260" s="76" t="s">
        <v>72</v>
      </c>
      <c r="J260" s="76" t="s">
        <v>72</v>
      </c>
      <c r="K260" s="76" t="s">
        <v>72</v>
      </c>
      <c r="L260" s="76" t="s">
        <v>72</v>
      </c>
      <c r="M260" s="76" t="s">
        <v>72</v>
      </c>
      <c r="N260" s="76" t="s">
        <v>72</v>
      </c>
      <c r="O260" s="76" t="s">
        <v>72</v>
      </c>
    </row>
    <row r="261" spans="2:15" ht="28.5" customHeight="1" x14ac:dyDescent="0.25">
      <c r="B261" s="60"/>
      <c r="C261" s="60"/>
      <c r="D261" s="60"/>
      <c r="E261" s="60"/>
      <c r="F261" s="60"/>
      <c r="G261" s="60"/>
      <c r="H261" s="60"/>
      <c r="I261" s="60"/>
      <c r="J261" s="60"/>
      <c r="K261" s="60"/>
      <c r="L261" s="60"/>
      <c r="M261" s="60"/>
      <c r="N261" s="60"/>
      <c r="O261" s="60"/>
    </row>
    <row r="264" spans="2:15" ht="24" customHeight="1" x14ac:dyDescent="0.25">
      <c r="B264" s="14" t="s">
        <v>77</v>
      </c>
      <c r="C264" s="336"/>
      <c r="D264" s="336"/>
      <c r="E264" s="66"/>
      <c r="K264" s="337" t="s">
        <v>78</v>
      </c>
      <c r="L264" s="337"/>
      <c r="M264" s="75" t="s">
        <v>82</v>
      </c>
      <c r="N264" s="68"/>
      <c r="O264" s="67"/>
    </row>
    <row r="265" spans="2:15" x14ac:dyDescent="0.25">
      <c r="B265" s="338" t="s">
        <v>10</v>
      </c>
      <c r="C265" s="338"/>
      <c r="D265" s="339" t="s">
        <v>9</v>
      </c>
      <c r="E265" s="340"/>
      <c r="F265" s="341" t="s">
        <v>8</v>
      </c>
      <c r="G265" s="342"/>
      <c r="H265" s="343" t="s">
        <v>7</v>
      </c>
      <c r="I265" s="344"/>
      <c r="J265" s="345" t="s">
        <v>6</v>
      </c>
      <c r="K265" s="346"/>
      <c r="L265" s="347" t="s">
        <v>5</v>
      </c>
      <c r="M265" s="348"/>
      <c r="N265" s="331" t="s">
        <v>4</v>
      </c>
      <c r="O265" s="332"/>
    </row>
    <row r="266" spans="2:15" x14ac:dyDescent="0.25">
      <c r="B266" s="65" t="s">
        <v>76</v>
      </c>
      <c r="C266" s="64" t="s">
        <v>75</v>
      </c>
      <c r="D266" s="65" t="s">
        <v>76</v>
      </c>
      <c r="E266" s="64" t="s">
        <v>75</v>
      </c>
      <c r="F266" s="65" t="s">
        <v>76</v>
      </c>
      <c r="G266" s="64" t="s">
        <v>75</v>
      </c>
      <c r="H266" s="65" t="s">
        <v>76</v>
      </c>
      <c r="I266" s="64" t="s">
        <v>75</v>
      </c>
      <c r="J266" s="65" t="s">
        <v>76</v>
      </c>
      <c r="K266" s="64" t="s">
        <v>75</v>
      </c>
      <c r="L266" s="65" t="s">
        <v>76</v>
      </c>
      <c r="M266" s="64" t="s">
        <v>75</v>
      </c>
      <c r="N266" s="65" t="s">
        <v>76</v>
      </c>
      <c r="O266" s="64" t="s">
        <v>75</v>
      </c>
    </row>
    <row r="267" spans="2:15" x14ac:dyDescent="0.25">
      <c r="B267" s="62"/>
      <c r="C267" s="62"/>
      <c r="D267" s="62"/>
      <c r="E267" s="62"/>
      <c r="F267" s="62"/>
      <c r="G267" s="62"/>
      <c r="H267" s="62"/>
      <c r="I267" s="62"/>
      <c r="J267" s="62"/>
      <c r="K267" s="62"/>
      <c r="L267" s="62"/>
      <c r="M267" s="62"/>
      <c r="N267" s="62"/>
      <c r="O267" s="61"/>
    </row>
    <row r="268" spans="2:15" x14ac:dyDescent="0.25">
      <c r="B268" s="63" t="s">
        <v>74</v>
      </c>
      <c r="C268" s="76" t="s">
        <v>73</v>
      </c>
      <c r="D268" s="63" t="s">
        <v>74</v>
      </c>
      <c r="E268" s="76" t="s">
        <v>73</v>
      </c>
      <c r="F268" s="63" t="s">
        <v>74</v>
      </c>
      <c r="G268" s="76" t="s">
        <v>73</v>
      </c>
      <c r="H268" s="63" t="s">
        <v>74</v>
      </c>
      <c r="I268" s="76" t="s">
        <v>73</v>
      </c>
      <c r="J268" s="63" t="s">
        <v>74</v>
      </c>
      <c r="K268" s="76" t="s">
        <v>73</v>
      </c>
      <c r="L268" s="63" t="s">
        <v>74</v>
      </c>
      <c r="M268" s="76" t="s">
        <v>73</v>
      </c>
      <c r="N268" s="63" t="s">
        <v>74</v>
      </c>
      <c r="O268" s="76" t="s">
        <v>73</v>
      </c>
    </row>
    <row r="269" spans="2:15" x14ac:dyDescent="0.25">
      <c r="B269" s="62"/>
      <c r="C269" s="62"/>
      <c r="D269" s="62"/>
      <c r="E269" s="62"/>
      <c r="F269" s="62"/>
      <c r="G269" s="62"/>
      <c r="H269" s="62"/>
      <c r="I269" s="62"/>
      <c r="J269" s="62"/>
      <c r="K269" s="62"/>
      <c r="L269" s="62"/>
      <c r="M269" s="62"/>
      <c r="N269" s="62"/>
      <c r="O269" s="61"/>
    </row>
    <row r="270" spans="2:15" s="71" customFormat="1" ht="13.5" x14ac:dyDescent="0.15">
      <c r="B270" s="70" t="s">
        <v>72</v>
      </c>
      <c r="C270" s="70" t="s">
        <v>72</v>
      </c>
      <c r="D270" s="70" t="s">
        <v>72</v>
      </c>
      <c r="E270" s="70" t="s">
        <v>72</v>
      </c>
      <c r="F270" s="70" t="s">
        <v>72</v>
      </c>
      <c r="G270" s="70" t="s">
        <v>72</v>
      </c>
      <c r="H270" s="70" t="s">
        <v>72</v>
      </c>
      <c r="I270" s="70" t="s">
        <v>72</v>
      </c>
      <c r="J270" s="70" t="s">
        <v>72</v>
      </c>
      <c r="K270" s="70" t="s">
        <v>72</v>
      </c>
      <c r="L270" s="70" t="s">
        <v>72</v>
      </c>
      <c r="M270" s="70" t="s">
        <v>72</v>
      </c>
      <c r="N270" s="70" t="s">
        <v>72</v>
      </c>
      <c r="O270" s="70" t="s">
        <v>72</v>
      </c>
    </row>
    <row r="271" spans="2:15" ht="28.5" customHeight="1" x14ac:dyDescent="0.25">
      <c r="B271" s="60"/>
      <c r="C271" s="60"/>
      <c r="D271" s="60"/>
      <c r="E271" s="60"/>
      <c r="F271" s="60"/>
      <c r="G271" s="60"/>
      <c r="H271" s="60"/>
      <c r="I271" s="60"/>
      <c r="J271" s="60"/>
      <c r="K271" s="60"/>
      <c r="L271" s="60"/>
      <c r="M271" s="60"/>
      <c r="N271" s="60"/>
      <c r="O271" s="60"/>
    </row>
    <row r="273" spans="2:15" ht="24" customHeight="1" x14ac:dyDescent="0.25">
      <c r="B273" s="14" t="s">
        <v>77</v>
      </c>
      <c r="C273" s="336"/>
      <c r="D273" s="336"/>
      <c r="E273" s="66"/>
      <c r="K273" s="337" t="s">
        <v>78</v>
      </c>
      <c r="L273" s="337"/>
      <c r="M273" s="75" t="s">
        <v>82</v>
      </c>
      <c r="N273" s="68"/>
      <c r="O273" s="67"/>
    </row>
    <row r="274" spans="2:15" x14ac:dyDescent="0.25">
      <c r="B274" s="338" t="s">
        <v>10</v>
      </c>
      <c r="C274" s="338"/>
      <c r="D274" s="339" t="s">
        <v>9</v>
      </c>
      <c r="E274" s="340"/>
      <c r="F274" s="341" t="s">
        <v>8</v>
      </c>
      <c r="G274" s="342"/>
      <c r="H274" s="343" t="s">
        <v>7</v>
      </c>
      <c r="I274" s="344"/>
      <c r="J274" s="345" t="s">
        <v>6</v>
      </c>
      <c r="K274" s="346"/>
      <c r="L274" s="347" t="s">
        <v>5</v>
      </c>
      <c r="M274" s="348" t="s">
        <v>81</v>
      </c>
      <c r="N274" s="331" t="s">
        <v>4</v>
      </c>
      <c r="O274" s="332"/>
    </row>
    <row r="275" spans="2:15" x14ac:dyDescent="0.25">
      <c r="B275" s="65" t="s">
        <v>76</v>
      </c>
      <c r="C275" s="64" t="s">
        <v>75</v>
      </c>
      <c r="D275" s="65" t="s">
        <v>76</v>
      </c>
      <c r="E275" s="64" t="s">
        <v>75</v>
      </c>
      <c r="F275" s="65" t="s">
        <v>76</v>
      </c>
      <c r="G275" s="64" t="s">
        <v>75</v>
      </c>
      <c r="H275" s="65" t="s">
        <v>76</v>
      </c>
      <c r="I275" s="64" t="s">
        <v>75</v>
      </c>
      <c r="J275" s="65" t="s">
        <v>76</v>
      </c>
      <c r="K275" s="64" t="s">
        <v>75</v>
      </c>
      <c r="L275" s="65" t="s">
        <v>76</v>
      </c>
      <c r="M275" s="64" t="s">
        <v>75</v>
      </c>
      <c r="N275" s="65" t="s">
        <v>76</v>
      </c>
      <c r="O275" s="64" t="s">
        <v>75</v>
      </c>
    </row>
    <row r="276" spans="2:15" s="74" customFormat="1" ht="18" customHeight="1" x14ac:dyDescent="0.25">
      <c r="B276" s="72"/>
      <c r="C276" s="72"/>
      <c r="D276" s="72"/>
      <c r="E276" s="72"/>
      <c r="F276" s="72"/>
      <c r="G276" s="72"/>
      <c r="H276" s="72"/>
      <c r="I276" s="72"/>
      <c r="J276" s="72"/>
      <c r="K276" s="72"/>
      <c r="L276" s="72"/>
      <c r="M276" s="72"/>
      <c r="N276" s="72"/>
      <c r="O276" s="73"/>
    </row>
    <row r="277" spans="2:15" x14ac:dyDescent="0.25">
      <c r="B277" s="63" t="s">
        <v>74</v>
      </c>
      <c r="C277" s="76" t="s">
        <v>73</v>
      </c>
      <c r="D277" s="63" t="s">
        <v>74</v>
      </c>
      <c r="E277" s="76" t="s">
        <v>73</v>
      </c>
      <c r="F277" s="63" t="s">
        <v>74</v>
      </c>
      <c r="G277" s="76" t="s">
        <v>73</v>
      </c>
      <c r="H277" s="63" t="s">
        <v>74</v>
      </c>
      <c r="I277" s="76" t="s">
        <v>73</v>
      </c>
      <c r="J277" s="63" t="s">
        <v>74</v>
      </c>
      <c r="K277" s="76" t="s">
        <v>73</v>
      </c>
      <c r="L277" s="63" t="s">
        <v>74</v>
      </c>
      <c r="M277" s="76" t="s">
        <v>73</v>
      </c>
      <c r="N277" s="63" t="s">
        <v>74</v>
      </c>
      <c r="O277" s="76" t="s">
        <v>73</v>
      </c>
    </row>
    <row r="278" spans="2:15" s="74" customFormat="1" ht="18" customHeight="1" x14ac:dyDescent="0.25">
      <c r="B278" s="72"/>
      <c r="C278" s="72"/>
      <c r="D278" s="72"/>
      <c r="E278" s="72"/>
      <c r="F278" s="72"/>
      <c r="G278" s="72"/>
      <c r="H278" s="72"/>
      <c r="I278" s="72"/>
      <c r="J278" s="72"/>
      <c r="K278" s="72"/>
      <c r="L278" s="72"/>
      <c r="M278" s="72"/>
      <c r="N278" s="72"/>
      <c r="O278" s="73"/>
    </row>
    <row r="279" spans="2:15" s="71" customFormat="1" ht="13.5" x14ac:dyDescent="0.15">
      <c r="B279" s="70" t="s">
        <v>72</v>
      </c>
      <c r="C279" s="70" t="s">
        <v>72</v>
      </c>
      <c r="D279" s="70" t="s">
        <v>72</v>
      </c>
      <c r="E279" s="70" t="s">
        <v>72</v>
      </c>
      <c r="F279" s="70" t="s">
        <v>72</v>
      </c>
      <c r="G279" s="70" t="s">
        <v>72</v>
      </c>
      <c r="H279" s="70" t="s">
        <v>72</v>
      </c>
      <c r="I279" s="70" t="s">
        <v>72</v>
      </c>
      <c r="J279" s="70" t="s">
        <v>72</v>
      </c>
      <c r="K279" s="70" t="s">
        <v>72</v>
      </c>
      <c r="L279" s="70" t="s">
        <v>72</v>
      </c>
      <c r="M279" s="70" t="s">
        <v>72</v>
      </c>
      <c r="N279" s="70" t="s">
        <v>72</v>
      </c>
      <c r="O279" s="70" t="s">
        <v>72</v>
      </c>
    </row>
    <row r="280" spans="2:15" ht="28.5" customHeight="1" x14ac:dyDescent="0.25">
      <c r="B280" s="60"/>
      <c r="C280" s="60"/>
      <c r="D280" s="60"/>
      <c r="E280" s="60"/>
      <c r="F280" s="60"/>
      <c r="G280" s="60"/>
      <c r="H280" s="60"/>
      <c r="I280" s="60"/>
      <c r="J280" s="60"/>
      <c r="K280" s="60"/>
      <c r="L280" s="60"/>
      <c r="M280" s="60"/>
      <c r="N280" s="60"/>
      <c r="O280" s="60"/>
    </row>
    <row r="283" spans="2:15" ht="24" customHeight="1" x14ac:dyDescent="0.25">
      <c r="B283" s="14" t="s">
        <v>77</v>
      </c>
      <c r="C283" s="336"/>
      <c r="D283" s="336"/>
      <c r="E283" s="66"/>
      <c r="K283" s="337" t="s">
        <v>78</v>
      </c>
      <c r="L283" s="337"/>
      <c r="M283" s="75" t="s">
        <v>82</v>
      </c>
      <c r="N283" s="68"/>
      <c r="O283" s="67"/>
    </row>
    <row r="284" spans="2:15" x14ac:dyDescent="0.25">
      <c r="B284" s="338" t="s">
        <v>10</v>
      </c>
      <c r="C284" s="338"/>
      <c r="D284" s="339" t="s">
        <v>9</v>
      </c>
      <c r="E284" s="340"/>
      <c r="F284" s="341" t="s">
        <v>8</v>
      </c>
      <c r="G284" s="342"/>
      <c r="H284" s="343" t="s">
        <v>7</v>
      </c>
      <c r="I284" s="344"/>
      <c r="J284" s="345" t="s">
        <v>6</v>
      </c>
      <c r="K284" s="346"/>
      <c r="L284" s="347" t="s">
        <v>5</v>
      </c>
      <c r="M284" s="348"/>
      <c r="N284" s="331" t="s">
        <v>4</v>
      </c>
      <c r="O284" s="332"/>
    </row>
    <row r="285" spans="2:15" x14ac:dyDescent="0.25">
      <c r="B285" s="65" t="s">
        <v>76</v>
      </c>
      <c r="C285" s="64" t="s">
        <v>75</v>
      </c>
      <c r="D285" s="65" t="s">
        <v>76</v>
      </c>
      <c r="E285" s="64" t="s">
        <v>75</v>
      </c>
      <c r="F285" s="65" t="s">
        <v>76</v>
      </c>
      <c r="G285" s="64" t="s">
        <v>75</v>
      </c>
      <c r="H285" s="65" t="s">
        <v>76</v>
      </c>
      <c r="I285" s="64" t="s">
        <v>75</v>
      </c>
      <c r="J285" s="65" t="s">
        <v>76</v>
      </c>
      <c r="K285" s="64" t="s">
        <v>75</v>
      </c>
      <c r="L285" s="65" t="s">
        <v>76</v>
      </c>
      <c r="M285" s="64" t="s">
        <v>75</v>
      </c>
      <c r="N285" s="65" t="s">
        <v>76</v>
      </c>
      <c r="O285" s="64" t="s">
        <v>75</v>
      </c>
    </row>
    <row r="286" spans="2:15" x14ac:dyDescent="0.25">
      <c r="B286" s="62"/>
      <c r="C286" s="62"/>
      <c r="D286" s="62"/>
      <c r="E286" s="62"/>
      <c r="F286" s="62"/>
      <c r="G286" s="62"/>
      <c r="H286" s="62"/>
      <c r="I286" s="62"/>
      <c r="J286" s="62"/>
      <c r="K286" s="62"/>
      <c r="L286" s="62"/>
      <c r="M286" s="62"/>
      <c r="N286" s="62"/>
      <c r="O286" s="61"/>
    </row>
    <row r="287" spans="2:15" x14ac:dyDescent="0.25">
      <c r="B287" s="63" t="s">
        <v>74</v>
      </c>
      <c r="C287" s="76" t="s">
        <v>73</v>
      </c>
      <c r="D287" s="63" t="s">
        <v>74</v>
      </c>
      <c r="E287" s="76" t="s">
        <v>73</v>
      </c>
      <c r="F287" s="63" t="s">
        <v>74</v>
      </c>
      <c r="G287" s="76" t="s">
        <v>73</v>
      </c>
      <c r="H287" s="63" t="s">
        <v>74</v>
      </c>
      <c r="I287" s="76" t="s">
        <v>73</v>
      </c>
      <c r="J287" s="63" t="s">
        <v>74</v>
      </c>
      <c r="K287" s="76" t="s">
        <v>73</v>
      </c>
      <c r="L287" s="63" t="s">
        <v>74</v>
      </c>
      <c r="M287" s="76" t="s">
        <v>73</v>
      </c>
      <c r="N287" s="63" t="s">
        <v>74</v>
      </c>
      <c r="O287" s="76" t="s">
        <v>73</v>
      </c>
    </row>
    <row r="288" spans="2:15" x14ac:dyDescent="0.25">
      <c r="B288" s="62"/>
      <c r="C288" s="62"/>
      <c r="D288" s="62"/>
      <c r="E288" s="62"/>
      <c r="F288" s="62"/>
      <c r="G288" s="62"/>
      <c r="H288" s="62"/>
      <c r="I288" s="62"/>
      <c r="J288" s="62"/>
      <c r="K288" s="62"/>
      <c r="L288" s="62"/>
      <c r="M288" s="62"/>
      <c r="N288" s="62"/>
      <c r="O288" s="61"/>
    </row>
    <row r="289" spans="2:15" x14ac:dyDescent="0.25">
      <c r="B289" s="76" t="s">
        <v>72</v>
      </c>
      <c r="C289" s="76" t="s">
        <v>72</v>
      </c>
      <c r="D289" s="76" t="s">
        <v>72</v>
      </c>
      <c r="E289" s="76" t="s">
        <v>72</v>
      </c>
      <c r="F289" s="76" t="s">
        <v>72</v>
      </c>
      <c r="G289" s="76" t="s">
        <v>72</v>
      </c>
      <c r="H289" s="76" t="s">
        <v>72</v>
      </c>
      <c r="I289" s="76" t="s">
        <v>72</v>
      </c>
      <c r="J289" s="76" t="s">
        <v>72</v>
      </c>
      <c r="K289" s="76" t="s">
        <v>72</v>
      </c>
      <c r="L289" s="76" t="s">
        <v>72</v>
      </c>
      <c r="M289" s="76" t="s">
        <v>72</v>
      </c>
      <c r="N289" s="76" t="s">
        <v>72</v>
      </c>
      <c r="O289" s="76" t="s">
        <v>72</v>
      </c>
    </row>
    <row r="290" spans="2:15" ht="28.5" customHeight="1" x14ac:dyDescent="0.25">
      <c r="B290" s="60"/>
      <c r="C290" s="60"/>
      <c r="D290" s="60"/>
      <c r="E290" s="60"/>
      <c r="F290" s="60"/>
      <c r="G290" s="60"/>
      <c r="H290" s="60"/>
      <c r="I290" s="60"/>
      <c r="J290" s="60"/>
      <c r="K290" s="60"/>
      <c r="L290" s="60"/>
      <c r="M290" s="60"/>
      <c r="N290" s="60"/>
      <c r="O290" s="60"/>
    </row>
    <row r="293" spans="2:15" ht="24" customHeight="1" x14ac:dyDescent="0.25">
      <c r="B293" s="14" t="s">
        <v>77</v>
      </c>
      <c r="C293" s="336"/>
      <c r="D293" s="336"/>
      <c r="E293" s="66"/>
      <c r="K293" s="337" t="s">
        <v>78</v>
      </c>
      <c r="L293" s="337"/>
      <c r="M293" s="75" t="s">
        <v>82</v>
      </c>
      <c r="N293" s="68"/>
      <c r="O293" s="67"/>
    </row>
    <row r="294" spans="2:15" x14ac:dyDescent="0.25">
      <c r="B294" s="338" t="s">
        <v>10</v>
      </c>
      <c r="C294" s="338"/>
      <c r="D294" s="339" t="s">
        <v>9</v>
      </c>
      <c r="E294" s="340"/>
      <c r="F294" s="341" t="s">
        <v>8</v>
      </c>
      <c r="G294" s="342"/>
      <c r="H294" s="343" t="s">
        <v>7</v>
      </c>
      <c r="I294" s="344"/>
      <c r="J294" s="345" t="s">
        <v>6</v>
      </c>
      <c r="K294" s="346"/>
      <c r="L294" s="347" t="s">
        <v>5</v>
      </c>
      <c r="M294" s="348"/>
      <c r="N294" s="331" t="s">
        <v>4</v>
      </c>
      <c r="O294" s="332"/>
    </row>
    <row r="295" spans="2:15" x14ac:dyDescent="0.25">
      <c r="B295" s="65" t="s">
        <v>76</v>
      </c>
      <c r="C295" s="64" t="s">
        <v>75</v>
      </c>
      <c r="D295" s="65" t="s">
        <v>76</v>
      </c>
      <c r="E295" s="64" t="s">
        <v>75</v>
      </c>
      <c r="F295" s="65" t="s">
        <v>76</v>
      </c>
      <c r="G295" s="64" t="s">
        <v>75</v>
      </c>
      <c r="H295" s="65" t="s">
        <v>76</v>
      </c>
      <c r="I295" s="64" t="s">
        <v>75</v>
      </c>
      <c r="J295" s="65" t="s">
        <v>76</v>
      </c>
      <c r="K295" s="64" t="s">
        <v>75</v>
      </c>
      <c r="L295" s="65" t="s">
        <v>76</v>
      </c>
      <c r="M295" s="64" t="s">
        <v>75</v>
      </c>
      <c r="N295" s="65" t="s">
        <v>76</v>
      </c>
      <c r="O295" s="64" t="s">
        <v>75</v>
      </c>
    </row>
    <row r="296" spans="2:15" x14ac:dyDescent="0.25">
      <c r="B296" s="62"/>
      <c r="C296" s="62"/>
      <c r="D296" s="62"/>
      <c r="E296" s="62"/>
      <c r="F296" s="62"/>
      <c r="G296" s="62"/>
      <c r="H296" s="62"/>
      <c r="I296" s="62"/>
      <c r="J296" s="62"/>
      <c r="K296" s="62"/>
      <c r="L296" s="62"/>
      <c r="M296" s="62"/>
      <c r="N296" s="62"/>
      <c r="O296" s="61"/>
    </row>
    <row r="297" spans="2:15" x14ac:dyDescent="0.25">
      <c r="B297" s="63" t="s">
        <v>74</v>
      </c>
      <c r="C297" s="76" t="s">
        <v>73</v>
      </c>
      <c r="D297" s="63" t="s">
        <v>74</v>
      </c>
      <c r="E297" s="76" t="s">
        <v>73</v>
      </c>
      <c r="F297" s="63" t="s">
        <v>74</v>
      </c>
      <c r="G297" s="76" t="s">
        <v>73</v>
      </c>
      <c r="H297" s="63" t="s">
        <v>74</v>
      </c>
      <c r="I297" s="76" t="s">
        <v>73</v>
      </c>
      <c r="J297" s="63" t="s">
        <v>74</v>
      </c>
      <c r="K297" s="76" t="s">
        <v>73</v>
      </c>
      <c r="L297" s="63" t="s">
        <v>74</v>
      </c>
      <c r="M297" s="76" t="s">
        <v>73</v>
      </c>
      <c r="N297" s="63" t="s">
        <v>74</v>
      </c>
      <c r="O297" s="76" t="s">
        <v>73</v>
      </c>
    </row>
    <row r="298" spans="2:15" x14ac:dyDescent="0.25">
      <c r="B298" s="62"/>
      <c r="C298" s="62"/>
      <c r="D298" s="62"/>
      <c r="E298" s="62"/>
      <c r="F298" s="62"/>
      <c r="G298" s="62"/>
      <c r="H298" s="62"/>
      <c r="I298" s="62"/>
      <c r="J298" s="62"/>
      <c r="K298" s="62"/>
      <c r="L298" s="62"/>
      <c r="M298" s="62"/>
      <c r="N298" s="62"/>
      <c r="O298" s="61"/>
    </row>
    <row r="299" spans="2:15" s="71" customFormat="1" ht="13.5" x14ac:dyDescent="0.15">
      <c r="B299" s="70" t="s">
        <v>72</v>
      </c>
      <c r="C299" s="70" t="s">
        <v>72</v>
      </c>
      <c r="D299" s="70" t="s">
        <v>72</v>
      </c>
      <c r="E299" s="70" t="s">
        <v>72</v>
      </c>
      <c r="F299" s="70" t="s">
        <v>72</v>
      </c>
      <c r="G299" s="70" t="s">
        <v>72</v>
      </c>
      <c r="H299" s="70" t="s">
        <v>72</v>
      </c>
      <c r="I299" s="70" t="s">
        <v>72</v>
      </c>
      <c r="J299" s="70" t="s">
        <v>72</v>
      </c>
      <c r="K299" s="70" t="s">
        <v>72</v>
      </c>
      <c r="L299" s="70" t="s">
        <v>72</v>
      </c>
      <c r="M299" s="70" t="s">
        <v>72</v>
      </c>
      <c r="N299" s="70" t="s">
        <v>72</v>
      </c>
      <c r="O299" s="70" t="s">
        <v>72</v>
      </c>
    </row>
    <row r="300" spans="2:15" ht="28.5" customHeight="1" x14ac:dyDescent="0.25">
      <c r="B300" s="60"/>
      <c r="C300" s="60"/>
      <c r="D300" s="60"/>
      <c r="E300" s="60"/>
      <c r="F300" s="60"/>
      <c r="G300" s="60"/>
      <c r="H300" s="60"/>
      <c r="I300" s="60"/>
      <c r="J300" s="60"/>
      <c r="K300" s="60"/>
      <c r="L300" s="60"/>
      <c r="M300" s="60"/>
      <c r="N300" s="60"/>
      <c r="O300" s="60"/>
    </row>
    <row r="316" spans="2:14" s="19" customFormat="1" ht="16.5" customHeight="1" x14ac:dyDescent="0.25">
      <c r="B316" s="199" t="s">
        <v>115</v>
      </c>
      <c r="C316" s="196" t="s">
        <v>116</v>
      </c>
      <c r="D316" s="196"/>
      <c r="E316" s="196"/>
      <c r="F316" s="196"/>
      <c r="G316" s="196"/>
      <c r="H316" s="196"/>
      <c r="I316" s="198"/>
      <c r="J316" s="197"/>
      <c r="K316" s="197"/>
      <c r="L316" s="196"/>
      <c r="M316" s="198" t="s">
        <v>113</v>
      </c>
      <c r="N316" s="197" t="s">
        <v>114</v>
      </c>
    </row>
  </sheetData>
  <mergeCells count="272">
    <mergeCell ref="C293:D293"/>
    <mergeCell ref="K293:L293"/>
    <mergeCell ref="B294:C294"/>
    <mergeCell ref="D294:E294"/>
    <mergeCell ref="F294:G294"/>
    <mergeCell ref="H294:I294"/>
    <mergeCell ref="J294:K294"/>
    <mergeCell ref="L294:M294"/>
    <mergeCell ref="N294:O294"/>
    <mergeCell ref="C283:D283"/>
    <mergeCell ref="K283:L283"/>
    <mergeCell ref="B284:C284"/>
    <mergeCell ref="D284:E284"/>
    <mergeCell ref="F284:G284"/>
    <mergeCell ref="H284:I284"/>
    <mergeCell ref="J284:K284"/>
    <mergeCell ref="L284:M284"/>
    <mergeCell ref="N284:O284"/>
    <mergeCell ref="C273:D273"/>
    <mergeCell ref="K273:L273"/>
    <mergeCell ref="B274:C274"/>
    <mergeCell ref="D274:E274"/>
    <mergeCell ref="F274:G274"/>
    <mergeCell ref="H274:I274"/>
    <mergeCell ref="J274:K274"/>
    <mergeCell ref="L274:M274"/>
    <mergeCell ref="N274:O274"/>
    <mergeCell ref="C264:D264"/>
    <mergeCell ref="K264:L264"/>
    <mergeCell ref="B265:C265"/>
    <mergeCell ref="D265:E265"/>
    <mergeCell ref="F265:G265"/>
    <mergeCell ref="H265:I265"/>
    <mergeCell ref="J265:K265"/>
    <mergeCell ref="L265:M265"/>
    <mergeCell ref="N265:O265"/>
    <mergeCell ref="C254:D254"/>
    <mergeCell ref="K254:L254"/>
    <mergeCell ref="B255:C255"/>
    <mergeCell ref="D255:E255"/>
    <mergeCell ref="F255:G255"/>
    <mergeCell ref="H255:I255"/>
    <mergeCell ref="J255:K255"/>
    <mergeCell ref="L255:M255"/>
    <mergeCell ref="N255:O255"/>
    <mergeCell ref="C244:D244"/>
    <mergeCell ref="K244:L244"/>
    <mergeCell ref="B245:C245"/>
    <mergeCell ref="D245:E245"/>
    <mergeCell ref="F245:G245"/>
    <mergeCell ref="H245:I245"/>
    <mergeCell ref="J245:K245"/>
    <mergeCell ref="L245:M245"/>
    <mergeCell ref="N245:O245"/>
    <mergeCell ref="C235:D235"/>
    <mergeCell ref="K235:L235"/>
    <mergeCell ref="B236:C236"/>
    <mergeCell ref="D236:E236"/>
    <mergeCell ref="F236:G236"/>
    <mergeCell ref="H236:I236"/>
    <mergeCell ref="J236:K236"/>
    <mergeCell ref="L236:M236"/>
    <mergeCell ref="N236:O236"/>
    <mergeCell ref="N207:O207"/>
    <mergeCell ref="N216:O216"/>
    <mergeCell ref="C225:D225"/>
    <mergeCell ref="K225:L225"/>
    <mergeCell ref="B226:C226"/>
    <mergeCell ref="D226:E226"/>
    <mergeCell ref="F226:G226"/>
    <mergeCell ref="H226:I226"/>
    <mergeCell ref="J226:K226"/>
    <mergeCell ref="L226:M226"/>
    <mergeCell ref="N226:O226"/>
    <mergeCell ref="C215:D215"/>
    <mergeCell ref="K215:L215"/>
    <mergeCell ref="B216:C216"/>
    <mergeCell ref="D216:E216"/>
    <mergeCell ref="F216:G216"/>
    <mergeCell ref="H216:I216"/>
    <mergeCell ref="J216:K216"/>
    <mergeCell ref="L216:M216"/>
    <mergeCell ref="B207:C207"/>
    <mergeCell ref="D207:E207"/>
    <mergeCell ref="F207:G207"/>
    <mergeCell ref="H207:I207"/>
    <mergeCell ref="J207:K207"/>
    <mergeCell ref="N187:O187"/>
    <mergeCell ref="C196:D196"/>
    <mergeCell ref="K196:L196"/>
    <mergeCell ref="B197:C197"/>
    <mergeCell ref="D197:E197"/>
    <mergeCell ref="F197:G197"/>
    <mergeCell ref="H197:I197"/>
    <mergeCell ref="J197:K197"/>
    <mergeCell ref="L197:M197"/>
    <mergeCell ref="N197:O197"/>
    <mergeCell ref="C177:D177"/>
    <mergeCell ref="K177:L177"/>
    <mergeCell ref="B178:C178"/>
    <mergeCell ref="D178:E178"/>
    <mergeCell ref="F178:G178"/>
    <mergeCell ref="H178:I178"/>
    <mergeCell ref="J178:K178"/>
    <mergeCell ref="L178:M178"/>
    <mergeCell ref="N178:O178"/>
    <mergeCell ref="K157:L157"/>
    <mergeCell ref="B158:C158"/>
    <mergeCell ref="D158:E158"/>
    <mergeCell ref="F158:G158"/>
    <mergeCell ref="H158:I158"/>
    <mergeCell ref="J158:K158"/>
    <mergeCell ref="L158:M158"/>
    <mergeCell ref="N158:O158"/>
    <mergeCell ref="C167:D167"/>
    <mergeCell ref="K167:L167"/>
    <mergeCell ref="C148:D148"/>
    <mergeCell ref="K148:L148"/>
    <mergeCell ref="B149:C149"/>
    <mergeCell ref="D149:E149"/>
    <mergeCell ref="F149:G149"/>
    <mergeCell ref="H149:I149"/>
    <mergeCell ref="J149:K149"/>
    <mergeCell ref="L149:M149"/>
    <mergeCell ref="N149:O149"/>
    <mergeCell ref="J129:K129"/>
    <mergeCell ref="L129:M129"/>
    <mergeCell ref="N129:O129"/>
    <mergeCell ref="C138:D138"/>
    <mergeCell ref="K138:L138"/>
    <mergeCell ref="B139:C139"/>
    <mergeCell ref="D139:E139"/>
    <mergeCell ref="F139:G139"/>
    <mergeCell ref="H139:I139"/>
    <mergeCell ref="J139:K139"/>
    <mergeCell ref="L139:M139"/>
    <mergeCell ref="N139:O139"/>
    <mergeCell ref="N110:O110"/>
    <mergeCell ref="C119:D119"/>
    <mergeCell ref="K119:L119"/>
    <mergeCell ref="B120:C120"/>
    <mergeCell ref="D120:E120"/>
    <mergeCell ref="F120:G120"/>
    <mergeCell ref="H120:I120"/>
    <mergeCell ref="J120:K120"/>
    <mergeCell ref="L120:M120"/>
    <mergeCell ref="N120:O120"/>
    <mergeCell ref="N91:O91"/>
    <mergeCell ref="K99:L99"/>
    <mergeCell ref="B100:C100"/>
    <mergeCell ref="D100:E100"/>
    <mergeCell ref="F100:G100"/>
    <mergeCell ref="H100:I100"/>
    <mergeCell ref="J100:K100"/>
    <mergeCell ref="L100:M100"/>
    <mergeCell ref="N100:O100"/>
    <mergeCell ref="H91:I91"/>
    <mergeCell ref="N62:O62"/>
    <mergeCell ref="L71:M71"/>
    <mergeCell ref="N71:O71"/>
    <mergeCell ref="C80:D80"/>
    <mergeCell ref="K80:L80"/>
    <mergeCell ref="B81:C81"/>
    <mergeCell ref="D81:E81"/>
    <mergeCell ref="F81:G81"/>
    <mergeCell ref="H81:I81"/>
    <mergeCell ref="J81:K81"/>
    <mergeCell ref="L81:M81"/>
    <mergeCell ref="N81:O81"/>
    <mergeCell ref="K41:L41"/>
    <mergeCell ref="B42:C42"/>
    <mergeCell ref="D42:E42"/>
    <mergeCell ref="F42:G42"/>
    <mergeCell ref="H42:I42"/>
    <mergeCell ref="J42:K42"/>
    <mergeCell ref="L42:M42"/>
    <mergeCell ref="N42:O42"/>
    <mergeCell ref="C51:D51"/>
    <mergeCell ref="K51:L51"/>
    <mergeCell ref="C186:D186"/>
    <mergeCell ref="K186:L186"/>
    <mergeCell ref="B187:C187"/>
    <mergeCell ref="D187:E187"/>
    <mergeCell ref="F187:G187"/>
    <mergeCell ref="H187:I187"/>
    <mergeCell ref="J187:K187"/>
    <mergeCell ref="L187:M187"/>
    <mergeCell ref="C206:D206"/>
    <mergeCell ref="K206:L206"/>
    <mergeCell ref="L207:M207"/>
    <mergeCell ref="L23:M23"/>
    <mergeCell ref="C12:D12"/>
    <mergeCell ref="K12:L12"/>
    <mergeCell ref="N13:O13"/>
    <mergeCell ref="B13:C13"/>
    <mergeCell ref="D13:E13"/>
    <mergeCell ref="F13:G13"/>
    <mergeCell ref="H13:I13"/>
    <mergeCell ref="J13:K13"/>
    <mergeCell ref="L13:M13"/>
    <mergeCell ref="N52:O52"/>
    <mergeCell ref="K70:L70"/>
    <mergeCell ref="B71:C71"/>
    <mergeCell ref="D71:E71"/>
    <mergeCell ref="F71:G71"/>
    <mergeCell ref="H71:I71"/>
    <mergeCell ref="J71:K71"/>
    <mergeCell ref="C22:D22"/>
    <mergeCell ref="K22:L22"/>
    <mergeCell ref="N23:O23"/>
    <mergeCell ref="C32:D32"/>
    <mergeCell ref="K32:L32"/>
    <mergeCell ref="B33:C33"/>
    <mergeCell ref="D33:E33"/>
    <mergeCell ref="F33:G33"/>
    <mergeCell ref="H33:I33"/>
    <mergeCell ref="J33:K33"/>
    <mergeCell ref="L33:M33"/>
    <mergeCell ref="N33:O33"/>
    <mergeCell ref="B23:C23"/>
    <mergeCell ref="D23:E23"/>
    <mergeCell ref="F23:G23"/>
    <mergeCell ref="H23:I23"/>
    <mergeCell ref="J23:K23"/>
    <mergeCell ref="C109:D109"/>
    <mergeCell ref="K109:L109"/>
    <mergeCell ref="B110:C110"/>
    <mergeCell ref="D110:E110"/>
    <mergeCell ref="F110:G110"/>
    <mergeCell ref="H110:I110"/>
    <mergeCell ref="B52:C52"/>
    <mergeCell ref="D52:E52"/>
    <mergeCell ref="F52:G52"/>
    <mergeCell ref="H52:I52"/>
    <mergeCell ref="J52:K52"/>
    <mergeCell ref="L52:M52"/>
    <mergeCell ref="C61:D61"/>
    <mergeCell ref="K61:L61"/>
    <mergeCell ref="B62:C62"/>
    <mergeCell ref="D62:E62"/>
    <mergeCell ref="F62:G62"/>
    <mergeCell ref="H62:I62"/>
    <mergeCell ref="J62:K62"/>
    <mergeCell ref="L62:M62"/>
    <mergeCell ref="J91:K91"/>
    <mergeCell ref="L91:M91"/>
    <mergeCell ref="J110:K110"/>
    <mergeCell ref="L110:M110"/>
    <mergeCell ref="N168:O168"/>
    <mergeCell ref="E11:F11"/>
    <mergeCell ref="C11:D11"/>
    <mergeCell ref="C41:D41"/>
    <mergeCell ref="C70:D70"/>
    <mergeCell ref="C99:D99"/>
    <mergeCell ref="C128:D128"/>
    <mergeCell ref="C157:D157"/>
    <mergeCell ref="K128:L128"/>
    <mergeCell ref="B129:C129"/>
    <mergeCell ref="D129:E129"/>
    <mergeCell ref="F129:G129"/>
    <mergeCell ref="H129:I129"/>
    <mergeCell ref="B168:C168"/>
    <mergeCell ref="D168:E168"/>
    <mergeCell ref="F168:G168"/>
    <mergeCell ref="H168:I168"/>
    <mergeCell ref="J168:K168"/>
    <mergeCell ref="L168:M168"/>
    <mergeCell ref="C90:D90"/>
    <mergeCell ref="K90:L90"/>
    <mergeCell ref="B91:C91"/>
    <mergeCell ref="D91:E91"/>
    <mergeCell ref="F91:G91"/>
  </mergeCells>
  <conditionalFormatting sqref="C12:D12 C22:D22 C32:D32 C41:D41 C51:D51 C61:D61 C70:D70 C80:D80 C90:D90 C109:D109 C119:D119 C128:D128 C138:D138 C148:D148 C167:D167 C177:D177 C186:D186 C196:D196 C206:D206 C215:D215 C235:D235 C244:D244 C254:D254 C264:D264 C273:D273 C283:D283 C293:D293">
    <cfRule type="duplicateValues" dxfId="572" priority="1"/>
  </conditionalFormatting>
  <dataValidations count="1">
    <dataValidation type="list" allowBlank="1" showInputMessage="1" showErrorMessage="1" prompt="Select One..." sqref="C12 C283 C22 C32 C244 C254 C61 C41 C51 C90 C70 C80 C119 C99 C109 C148 C128 C138 C177 C157 C167 C206 C186 C196 C235 C215 C225 C264 C273 C293" xr:uid="{00000000-0002-0000-0200-000000000000}">
      <formula1>List_Guard</formula1>
    </dataValidation>
  </dataValidations>
  <pageMargins left="1.04" right="0.38" top="0.31" bottom="0.57999999999999996" header="0.21" footer="0.24"/>
  <pageSetup paperSize="9" scale="70" fitToHeight="0" orientation="landscape" r:id="rId1"/>
  <rowBreaks count="9" manualBreakCount="9">
    <brk id="39" max="16383" man="1"/>
    <brk id="68" max="16383" man="1"/>
    <brk id="97" max="16383" man="1"/>
    <brk id="126" max="16383" man="1"/>
    <brk id="155" max="16383" man="1"/>
    <brk id="184" max="16383" man="1"/>
    <brk id="213" max="16383" man="1"/>
    <brk id="242" max="16383" man="1"/>
    <brk id="271" max="16383" man="1"/>
  </rowBreaks>
  <drawing r:id="rId2"/>
  <legacyDrawing r:id="rId3"/>
  <controls>
    <mc:AlternateContent xmlns:mc="http://schemas.openxmlformats.org/markup-compatibility/2006">
      <mc:Choice Requires="x14">
        <control shapeId="5122" r:id="rId4" name="Calendario">
          <controlPr print="0" autoFill="0" autoLine="0" autoPict="0" altText="Select WEEKENNDING(Sat every weed)" linkedCell="M12" r:id="rId5">
            <anchor>
              <from>
                <xdr:col>11</xdr:col>
                <xdr:colOff>647700</xdr:colOff>
                <xdr:row>0</xdr:row>
                <xdr:rowOff>190500</xdr:rowOff>
              </from>
              <to>
                <xdr:col>14</xdr:col>
                <xdr:colOff>552450</xdr:colOff>
                <xdr:row>8</xdr:row>
                <xdr:rowOff>180975</xdr:rowOff>
              </to>
            </anchor>
          </controlPr>
        </control>
      </mc:Choice>
      <mc:Fallback>
        <control shapeId="5122" r:id="rId4" name="Calendari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B76E4-EEF6-6B4E-A1CE-DA0D84566B0A}">
  <sheetPr codeName="Hoja15">
    <tabColor theme="2"/>
    <pageSetUpPr fitToPage="1"/>
  </sheetPr>
  <dimension ref="A1:XFD141"/>
  <sheetViews>
    <sheetView showGridLines="0" zoomScale="80" zoomScaleNormal="80" zoomScaleSheetLayoutView="46" workbookViewId="0" xr3:uid="{5E5C4B63-92BC-5308-B77A-5CCC3EDBF7E5}">
      <pane xSplit="5" ySplit="8" topLeftCell="F22" activePane="bottomRight" state="frozen"/>
      <selection pane="bottomLeft" activeCell="A9" sqref="A9"/>
      <selection pane="topRight" activeCell="F1" sqref="F1"/>
      <selection pane="bottomRight" activeCell="D28" sqref="D28"/>
    </sheetView>
  </sheetViews>
  <sheetFormatPr defaultColWidth="0" defaultRowHeight="0" customHeight="1" zeroHeight="1" x14ac:dyDescent="0.25"/>
  <cols>
    <col min="1" max="1" width="2.04296875" customWidth="1"/>
    <col min="2" max="2" width="20.453125" customWidth="1"/>
    <col min="3" max="3" width="6.81640625" bestFit="1" customWidth="1"/>
    <col min="4" max="4" width="12.1328125" style="240" bestFit="1" customWidth="1"/>
    <col min="5" max="5" width="0.40625" style="179" customWidth="1"/>
    <col min="6" max="6" width="18.40625" style="17" customWidth="1"/>
    <col min="7" max="7" width="18.40625" customWidth="1"/>
    <col min="8" max="9" width="17.453125" bestFit="1" customWidth="1"/>
    <col min="10" max="11" width="18.26953125" bestFit="1" customWidth="1"/>
    <col min="12" max="12" width="18.6796875" bestFit="1" customWidth="1"/>
    <col min="13" max="13" width="3.26953125" style="19" customWidth="1"/>
    <col min="14" max="16383" width="9.953125" hidden="1"/>
    <col min="16384" max="16384" width="5.453125" hidden="1" customWidth="1"/>
  </cols>
  <sheetData>
    <row r="1" spans="2:13" ht="33" customHeight="1" x14ac:dyDescent="0.25">
      <c r="B1" s="19"/>
      <c r="C1" s="19"/>
      <c r="D1" s="20"/>
      <c r="E1" s="182"/>
      <c r="F1" s="114"/>
      <c r="G1" s="19"/>
      <c r="H1" s="19"/>
      <c r="I1" s="19"/>
      <c r="J1" s="19"/>
      <c r="K1" s="19"/>
      <c r="L1" s="230"/>
      <c r="M1" s="196"/>
    </row>
    <row r="2" spans="2:13" ht="24.75" customHeight="1" x14ac:dyDescent="0.3">
      <c r="B2" s="231"/>
      <c r="C2" s="231"/>
      <c r="D2" s="231"/>
      <c r="E2" s="231"/>
      <c r="F2" s="355" t="s">
        <v>18</v>
      </c>
      <c r="G2" s="355"/>
      <c r="H2" s="200"/>
      <c r="I2" s="229" t="s">
        <v>17</v>
      </c>
      <c r="J2" s="230">
        <f>IF((F8),F8," ")</f>
        <v>43282</v>
      </c>
      <c r="K2" s="122" t="s">
        <v>16</v>
      </c>
      <c r="L2" s="230">
        <f>L8</f>
        <v>43288</v>
      </c>
      <c r="M2" s="196"/>
    </row>
    <row r="3" spans="2:13" ht="28.5" x14ac:dyDescent="0.45">
      <c r="B3" s="231"/>
      <c r="C3" s="231"/>
      <c r="D3" s="231"/>
      <c r="E3" s="231"/>
      <c r="F3" s="183"/>
      <c r="G3" s="183"/>
      <c r="H3" s="201"/>
      <c r="I3" s="183"/>
      <c r="J3" s="230"/>
      <c r="K3" s="229"/>
      <c r="L3" s="230"/>
      <c r="M3" s="196"/>
    </row>
    <row r="4" spans="2:13" ht="21" x14ac:dyDescent="0.25">
      <c r="B4" s="231" t="s">
        <v>13</v>
      </c>
      <c r="C4" s="231"/>
      <c r="D4" s="231">
        <f>Employeed!C38</f>
        <v>60029</v>
      </c>
      <c r="E4" s="231"/>
      <c r="F4" s="356" t="s">
        <v>15</v>
      </c>
      <c r="G4" s="356"/>
      <c r="H4" s="24" t="s">
        <v>14</v>
      </c>
      <c r="I4" s="24"/>
      <c r="J4" s="24"/>
      <c r="K4" s="231"/>
      <c r="L4" s="231"/>
      <c r="M4" s="196"/>
    </row>
    <row r="5" spans="2:13" ht="15.75" x14ac:dyDescent="0.25">
      <c r="B5" s="231" t="s">
        <v>13</v>
      </c>
      <c r="C5" s="231"/>
      <c r="D5" s="231">
        <f>Employeed!D1</f>
        <v>3502</v>
      </c>
      <c r="E5" s="183">
        <v>0.33333333333333331</v>
      </c>
      <c r="F5" s="195"/>
      <c r="G5" s="195"/>
      <c r="H5" s="24" t="s">
        <v>12</v>
      </c>
      <c r="I5" s="115" t="str">
        <f>Employeed!C39</f>
        <v>(505) 344-1900</v>
      </c>
      <c r="J5" s="24"/>
      <c r="K5" s="24"/>
      <c r="L5" s="115"/>
      <c r="M5" s="196"/>
    </row>
    <row r="6" spans="2:13" ht="12" customHeight="1" x14ac:dyDescent="0.25">
      <c r="B6" s="231"/>
      <c r="C6" s="231"/>
      <c r="D6" s="231"/>
      <c r="E6" s="231"/>
      <c r="F6" s="232"/>
      <c r="G6" s="232"/>
      <c r="H6" s="231"/>
      <c r="I6" s="26"/>
      <c r="J6" s="26"/>
      <c r="K6" s="231"/>
      <c r="L6" s="231"/>
      <c r="M6" s="196"/>
    </row>
    <row r="7" spans="2:13" ht="16.5" customHeight="1" x14ac:dyDescent="0.25">
      <c r="B7" s="357" t="s">
        <v>30</v>
      </c>
      <c r="C7" s="358"/>
      <c r="D7" s="361" t="s">
        <v>31</v>
      </c>
      <c r="E7" s="361"/>
      <c r="F7" s="222" t="s">
        <v>10</v>
      </c>
      <c r="G7" s="223" t="s">
        <v>9</v>
      </c>
      <c r="H7" s="224" t="s">
        <v>8</v>
      </c>
      <c r="I7" s="225" t="s">
        <v>7</v>
      </c>
      <c r="J7" s="226" t="s">
        <v>94</v>
      </c>
      <c r="K7" s="227" t="s">
        <v>5</v>
      </c>
      <c r="L7" s="228" t="s">
        <v>4</v>
      </c>
      <c r="M7" s="196"/>
    </row>
    <row r="8" spans="2:13" s="2" customFormat="1" ht="16.5" customHeight="1" x14ac:dyDescent="0.25">
      <c r="B8" s="359"/>
      <c r="C8" s="360"/>
      <c r="D8" s="361"/>
      <c r="E8" s="361"/>
      <c r="F8" s="233">
        <v>43282</v>
      </c>
      <c r="G8" s="234">
        <f t="shared" ref="G8:L8" si="0">F8+1</f>
        <v>43283</v>
      </c>
      <c r="H8" s="235">
        <f t="shared" si="0"/>
        <v>43284</v>
      </c>
      <c r="I8" s="236">
        <f t="shared" si="0"/>
        <v>43285</v>
      </c>
      <c r="J8" s="237">
        <f t="shared" si="0"/>
        <v>43286</v>
      </c>
      <c r="K8" s="238">
        <f t="shared" si="0"/>
        <v>43287</v>
      </c>
      <c r="L8" s="239">
        <f t="shared" si="0"/>
        <v>43288</v>
      </c>
      <c r="M8" s="196"/>
    </row>
    <row r="9" spans="2:13" ht="26.25" customHeight="1" x14ac:dyDescent="0.25">
      <c r="B9" s="241"/>
      <c r="C9" s="242"/>
      <c r="D9" s="244" t="s">
        <v>0</v>
      </c>
      <c r="E9" s="244">
        <v>8</v>
      </c>
      <c r="F9" s="116"/>
      <c r="G9" s="116" t="s">
        <v>88</v>
      </c>
      <c r="H9" s="116" t="s">
        <v>41</v>
      </c>
      <c r="I9" s="116" t="s">
        <v>41</v>
      </c>
      <c r="J9" s="116" t="s">
        <v>41</v>
      </c>
      <c r="K9" s="116" t="s">
        <v>85</v>
      </c>
      <c r="L9" s="116" t="s">
        <v>112</v>
      </c>
      <c r="M9" s="196"/>
    </row>
    <row r="10" spans="2:13" ht="26.25" customHeight="1" x14ac:dyDescent="0.25">
      <c r="B10" s="349" t="s">
        <v>3</v>
      </c>
      <c r="C10" s="350"/>
      <c r="D10" s="244" t="s">
        <v>23</v>
      </c>
      <c r="E10" s="244">
        <v>12</v>
      </c>
      <c r="F10" s="116" t="s">
        <v>110</v>
      </c>
      <c r="G10" s="116"/>
      <c r="H10" s="116"/>
      <c r="I10" s="116"/>
      <c r="J10" s="116"/>
      <c r="K10" s="116"/>
      <c r="L10" s="116"/>
      <c r="M10" s="196"/>
    </row>
    <row r="11" spans="2:13" ht="26.25" customHeight="1" x14ac:dyDescent="0.25">
      <c r="B11" s="349"/>
      <c r="C11" s="350"/>
      <c r="D11" s="244" t="s">
        <v>1</v>
      </c>
      <c r="E11" s="244">
        <v>8</v>
      </c>
      <c r="F11" s="116"/>
      <c r="G11" s="116" t="s">
        <v>39</v>
      </c>
      <c r="H11" s="116" t="s">
        <v>40</v>
      </c>
      <c r="I11" s="116" t="s">
        <v>87</v>
      </c>
      <c r="J11" s="116" t="s">
        <v>42</v>
      </c>
      <c r="K11" s="116" t="s">
        <v>42</v>
      </c>
      <c r="L11" s="116" t="s">
        <v>42</v>
      </c>
      <c r="M11" s="196"/>
    </row>
    <row r="12" spans="2:13" ht="26.25" customHeight="1" x14ac:dyDescent="0.25">
      <c r="B12" s="353"/>
      <c r="C12" s="354"/>
      <c r="D12" s="244" t="s">
        <v>0</v>
      </c>
      <c r="E12" s="244">
        <v>8</v>
      </c>
      <c r="F12" s="116"/>
      <c r="G12" s="116" t="s">
        <v>44</v>
      </c>
      <c r="H12" s="116" t="s">
        <v>44</v>
      </c>
      <c r="I12" s="116" t="s">
        <v>45</v>
      </c>
      <c r="J12" s="116" t="s">
        <v>44</v>
      </c>
      <c r="K12" s="116" t="s">
        <v>44</v>
      </c>
      <c r="L12" s="116" t="s">
        <v>44</v>
      </c>
      <c r="M12" s="196"/>
    </row>
    <row r="13" spans="2:13" ht="26.25" customHeight="1" x14ac:dyDescent="0.25">
      <c r="B13" s="349" t="s">
        <v>22</v>
      </c>
      <c r="C13" s="350"/>
      <c r="D13" s="244" t="s">
        <v>23</v>
      </c>
      <c r="E13" s="244">
        <v>12</v>
      </c>
      <c r="F13" s="116" t="s">
        <v>45</v>
      </c>
      <c r="G13" s="116"/>
      <c r="H13" s="116"/>
      <c r="I13" s="116"/>
      <c r="J13" s="116"/>
      <c r="K13" s="116"/>
      <c r="L13" s="116"/>
      <c r="M13" s="196"/>
    </row>
    <row r="14" spans="2:13" ht="26.25" customHeight="1" x14ac:dyDescent="0.25">
      <c r="B14" s="351"/>
      <c r="C14" s="352"/>
      <c r="D14" s="244" t="s">
        <v>1</v>
      </c>
      <c r="E14" s="244">
        <v>8</v>
      </c>
      <c r="F14" s="116"/>
      <c r="G14" s="116" t="s">
        <v>71</v>
      </c>
      <c r="H14" s="116" t="s">
        <v>85</v>
      </c>
      <c r="I14" s="116" t="s">
        <v>39</v>
      </c>
      <c r="J14" s="116" t="s">
        <v>71</v>
      </c>
      <c r="K14" s="116" t="s">
        <v>110</v>
      </c>
      <c r="L14" s="116" t="s">
        <v>110</v>
      </c>
      <c r="M14" s="196"/>
    </row>
    <row r="15" spans="2:13" ht="26.25" customHeight="1" x14ac:dyDescent="0.25">
      <c r="B15" s="353"/>
      <c r="C15" s="354"/>
      <c r="D15" s="244" t="s">
        <v>32</v>
      </c>
      <c r="E15" s="244">
        <v>6</v>
      </c>
      <c r="F15" s="116" t="s">
        <v>42</v>
      </c>
      <c r="G15" s="116" t="s">
        <v>45</v>
      </c>
      <c r="H15" s="116"/>
      <c r="I15" s="116"/>
      <c r="J15" s="116"/>
      <c r="K15" s="116"/>
      <c r="L15" s="116"/>
      <c r="M15" s="196"/>
    </row>
    <row r="16" spans="2:13" ht="26.25" customHeight="1" x14ac:dyDescent="0.25">
      <c r="B16" s="349" t="s">
        <v>24</v>
      </c>
      <c r="C16" s="350"/>
      <c r="D16" s="244" t="s">
        <v>27</v>
      </c>
      <c r="E16" s="244">
        <v>11</v>
      </c>
      <c r="F16" s="116" t="s">
        <v>49</v>
      </c>
      <c r="G16" s="116" t="s">
        <v>49</v>
      </c>
      <c r="H16" s="116" t="s">
        <v>96</v>
      </c>
      <c r="I16" s="116" t="s">
        <v>111</v>
      </c>
      <c r="J16" s="116" t="s">
        <v>96</v>
      </c>
      <c r="K16" s="116" t="s">
        <v>96</v>
      </c>
      <c r="L16" s="116" t="s">
        <v>96</v>
      </c>
      <c r="M16" s="196"/>
    </row>
    <row r="17" spans="2:14" ht="26.25" customHeight="1" x14ac:dyDescent="0.25">
      <c r="B17" s="351"/>
      <c r="C17" s="352"/>
      <c r="D17" s="244" t="s">
        <v>25</v>
      </c>
      <c r="E17" s="244">
        <v>6</v>
      </c>
      <c r="F17" s="116" t="s">
        <v>87</v>
      </c>
      <c r="G17" s="116" t="s">
        <v>42</v>
      </c>
      <c r="H17" s="116"/>
      <c r="I17" s="116"/>
      <c r="J17" s="116"/>
      <c r="K17" s="116"/>
      <c r="L17" s="116"/>
      <c r="M17" s="196"/>
    </row>
    <row r="18" spans="2:14" s="17" customFormat="1" ht="26.25" customHeight="1" x14ac:dyDescent="0.25">
      <c r="B18" s="220" t="s">
        <v>26</v>
      </c>
      <c r="C18" s="191"/>
      <c r="D18" s="221" t="s">
        <v>36</v>
      </c>
      <c r="E18" s="221">
        <v>6</v>
      </c>
      <c r="F18" s="243" t="s">
        <v>41</v>
      </c>
      <c r="G18" s="243"/>
      <c r="H18" s="243"/>
      <c r="I18" s="243"/>
      <c r="J18" s="243"/>
      <c r="K18" s="243"/>
      <c r="L18" s="243" t="s">
        <v>40</v>
      </c>
      <c r="M18" s="196"/>
    </row>
    <row r="19" spans="2:14" ht="26.25" customHeight="1" x14ac:dyDescent="0.25">
      <c r="B19" s="353"/>
      <c r="C19" s="354"/>
      <c r="D19" s="244" t="s">
        <v>0</v>
      </c>
      <c r="E19" s="244">
        <v>8</v>
      </c>
      <c r="F19" s="116"/>
      <c r="G19" s="116" t="s">
        <v>87</v>
      </c>
      <c r="H19" s="116" t="s">
        <v>45</v>
      </c>
      <c r="I19" s="116" t="s">
        <v>88</v>
      </c>
      <c r="J19" s="116" t="s">
        <v>88</v>
      </c>
      <c r="K19" s="116" t="s">
        <v>41</v>
      </c>
      <c r="L19" s="116" t="s">
        <v>88</v>
      </c>
      <c r="M19" s="196"/>
    </row>
    <row r="20" spans="2:14" ht="26.25" customHeight="1" x14ac:dyDescent="0.25">
      <c r="B20" s="349" t="s">
        <v>33</v>
      </c>
      <c r="C20" s="350"/>
      <c r="D20" s="244" t="s">
        <v>23</v>
      </c>
      <c r="E20" s="244">
        <v>12</v>
      </c>
      <c r="F20" s="116" t="s">
        <v>85</v>
      </c>
      <c r="G20" s="116"/>
      <c r="H20" s="116"/>
      <c r="I20" s="116"/>
      <c r="J20" s="116"/>
      <c r="K20" s="116"/>
      <c r="L20" s="116"/>
      <c r="M20" s="196"/>
    </row>
    <row r="21" spans="2:14" ht="26.25" customHeight="1" x14ac:dyDescent="0.25">
      <c r="B21" s="351"/>
      <c r="C21" s="352"/>
      <c r="D21" s="244" t="s">
        <v>1</v>
      </c>
      <c r="E21" s="244">
        <v>8</v>
      </c>
      <c r="F21" s="116"/>
      <c r="G21" s="116" t="s">
        <v>110</v>
      </c>
      <c r="H21" s="116" t="s">
        <v>39</v>
      </c>
      <c r="I21" s="116" t="s">
        <v>40</v>
      </c>
      <c r="J21" s="116" t="s">
        <v>39</v>
      </c>
      <c r="K21" s="116" t="s">
        <v>71</v>
      </c>
      <c r="L21" s="116" t="s">
        <v>87</v>
      </c>
      <c r="M21" s="196"/>
    </row>
    <row r="22" spans="2:14" ht="26.25" customHeight="1" x14ac:dyDescent="0.25">
      <c r="B22" s="353"/>
      <c r="C22" s="354"/>
      <c r="D22" s="244" t="s">
        <v>0</v>
      </c>
      <c r="E22" s="244">
        <v>8</v>
      </c>
      <c r="F22" s="116"/>
      <c r="G22" s="116" t="s">
        <v>43</v>
      </c>
      <c r="H22" s="116" t="s">
        <v>88</v>
      </c>
      <c r="I22" s="116" t="s">
        <v>43</v>
      </c>
      <c r="J22" s="116" t="s">
        <v>43</v>
      </c>
      <c r="K22" s="116" t="s">
        <v>40</v>
      </c>
      <c r="L22" s="116" t="s">
        <v>39</v>
      </c>
      <c r="M22" s="196"/>
    </row>
    <row r="23" spans="2:14" ht="26.25" customHeight="1" x14ac:dyDescent="0.25">
      <c r="B23" s="349" t="s">
        <v>70</v>
      </c>
      <c r="C23" s="350"/>
      <c r="D23" s="244" t="s">
        <v>23</v>
      </c>
      <c r="E23" s="244">
        <v>12</v>
      </c>
      <c r="F23" s="116" t="s">
        <v>40</v>
      </c>
      <c r="G23" s="116"/>
      <c r="H23" s="116"/>
      <c r="I23" s="116"/>
      <c r="J23" s="116"/>
      <c r="K23" s="116"/>
      <c r="L23" s="116"/>
      <c r="M23" s="196"/>
    </row>
    <row r="24" spans="2:14" ht="26.25" customHeight="1" x14ac:dyDescent="0.25">
      <c r="B24" s="351"/>
      <c r="C24" s="352"/>
      <c r="D24" s="244" t="s">
        <v>1</v>
      </c>
      <c r="E24" s="244">
        <v>8</v>
      </c>
      <c r="F24" s="116"/>
      <c r="G24" s="116" t="s">
        <v>85</v>
      </c>
      <c r="H24" s="116" t="s">
        <v>71</v>
      </c>
      <c r="I24" s="116" t="s">
        <v>71</v>
      </c>
      <c r="J24" s="116" t="s">
        <v>110</v>
      </c>
      <c r="K24" s="116" t="s">
        <v>87</v>
      </c>
      <c r="L24" s="116" t="s">
        <v>112</v>
      </c>
      <c r="M24" s="196"/>
    </row>
    <row r="25" spans="2:14" ht="15.75" x14ac:dyDescent="0.25">
      <c r="B25" s="353" t="s">
        <v>34</v>
      </c>
      <c r="C25" s="354"/>
      <c r="D25" s="365" t="s">
        <v>29</v>
      </c>
      <c r="E25" s="365"/>
      <c r="F25" s="291"/>
      <c r="G25" s="362"/>
      <c r="H25" s="362"/>
      <c r="I25" s="362"/>
      <c r="J25" s="362"/>
      <c r="K25" s="362"/>
      <c r="L25" s="362"/>
      <c r="M25" s="196"/>
      <c r="N25" s="364"/>
    </row>
    <row r="26" spans="2:14" ht="18" customHeight="1" x14ac:dyDescent="0.25">
      <c r="B26" s="351" t="s">
        <v>35</v>
      </c>
      <c r="C26" s="352"/>
      <c r="D26" s="365"/>
      <c r="E26" s="365"/>
      <c r="F26" s="293"/>
      <c r="G26" s="363"/>
      <c r="H26" s="363"/>
      <c r="I26" s="363"/>
      <c r="J26" s="363"/>
      <c r="K26" s="363"/>
      <c r="L26" s="363"/>
      <c r="M26" s="196"/>
      <c r="N26" s="364"/>
    </row>
    <row r="27" spans="2:14" ht="18" customHeight="1" x14ac:dyDescent="0.25">
      <c r="B27" s="192"/>
      <c r="C27" s="192"/>
      <c r="D27" s="193"/>
      <c r="E27" s="193"/>
      <c r="F27" s="194"/>
      <c r="G27" s="194"/>
      <c r="H27" s="194"/>
      <c r="I27" s="194"/>
      <c r="J27" s="194"/>
      <c r="K27" s="194"/>
      <c r="L27" s="194"/>
      <c r="M27" s="196"/>
      <c r="N27" s="245"/>
    </row>
    <row r="28" spans="2:14" ht="15.75" x14ac:dyDescent="0.25">
      <c r="B28" s="212"/>
      <c r="C28" s="212"/>
      <c r="D28" s="212"/>
      <c r="E28" s="212"/>
      <c r="F28" s="212"/>
      <c r="G28" s="212"/>
      <c r="H28" s="212"/>
      <c r="I28" s="212"/>
      <c r="J28" s="212"/>
      <c r="K28" s="212"/>
      <c r="L28" s="212"/>
      <c r="M28" s="196"/>
    </row>
    <row r="29" spans="2:14" ht="16.5" customHeight="1" x14ac:dyDescent="0.25">
      <c r="B29" s="366" t="s">
        <v>106</v>
      </c>
      <c r="C29" s="367">
        <f>SUM(F29:L29)</f>
        <v>42</v>
      </c>
      <c r="D29" s="368" t="s">
        <v>105</v>
      </c>
      <c r="E29" s="232"/>
      <c r="F29" s="190">
        <f>IFERROR(INDEX(Hr,MATCH($B31,Sun,0),0),0)</f>
        <v>12</v>
      </c>
      <c r="G29" s="190">
        <f>IFERROR(INDEX(Hr,MATCH($B31,Mon,0),0),0)</f>
        <v>0</v>
      </c>
      <c r="H29" s="190">
        <f>IFERROR(INDEX(Hr,MATCH($B31,Tue,0),0),0)</f>
        <v>8</v>
      </c>
      <c r="I29" s="190">
        <f>IFERROR(INDEX(Hr,MATCH($B31,Wed,0),0),0)</f>
        <v>8</v>
      </c>
      <c r="J29" s="190">
        <f>IFERROR(INDEX(Hr,MATCH($B31,Thr,0),0),0)</f>
        <v>0</v>
      </c>
      <c r="K29" s="190">
        <f>IFERROR(INDEX(Hr,MATCH($B31,Fri,0),0),0)</f>
        <v>8</v>
      </c>
      <c r="L29" s="190">
        <f>IFERROR(INDEX(Hr,MATCH($B31,Sat,0),0),0)</f>
        <v>6</v>
      </c>
      <c r="M29" s="196"/>
    </row>
    <row r="30" spans="2:14" ht="16.5" customHeight="1" x14ac:dyDescent="0.25">
      <c r="B30" s="366"/>
      <c r="C30" s="367"/>
      <c r="D30" s="368"/>
      <c r="E30" s="232"/>
      <c r="F30" s="203" t="str">
        <f>IFERROR(INDEX(Tour,MATCH($B31,Sun,0),0),"Off")</f>
        <v>07:00--20:00</v>
      </c>
      <c r="G30" s="203" t="str">
        <f>IFERROR(INDEX(Tour,MATCH($B31,Mon,0),0),"Off")</f>
        <v>Off</v>
      </c>
      <c r="H30" s="203" t="str">
        <f>IFERROR(INDEX(Tour,MATCH($B31,Tue,0),0),"Off")</f>
        <v>13:30--22:00</v>
      </c>
      <c r="I30" s="203" t="str">
        <f>IFERROR(INDEX(Tour,MATCH($B31,Wed,0),0),"Off")</f>
        <v>13:30--22:00</v>
      </c>
      <c r="J30" s="203" t="str">
        <f>IFERROR(INDEX(Tour,MATCH($B31,Thr,0),0),"Off")</f>
        <v>Off</v>
      </c>
      <c r="K30" s="203" t="str">
        <f>IFERROR(INDEX(Tour,MATCH($B31,Fri,0),0),"Off")</f>
        <v>06:00--14:30</v>
      </c>
      <c r="L30" s="203" t="str">
        <f>IFERROR(INDEX(Tour,MATCH($B31,Sat,0),0),"Off")</f>
        <v>11:00--17:00</v>
      </c>
      <c r="M30" s="196"/>
    </row>
    <row r="31" spans="2:14" ht="16.5" customHeight="1" x14ac:dyDescent="0.25">
      <c r="B31" s="369" t="s">
        <v>40</v>
      </c>
      <c r="C31" s="369"/>
      <c r="D31" s="370">
        <f>SUM(F32:L32)</f>
        <v>0</v>
      </c>
      <c r="E31" s="232"/>
      <c r="F31" s="202"/>
      <c r="G31" s="202"/>
      <c r="H31" s="202"/>
      <c r="I31" s="202"/>
      <c r="J31" s="202"/>
      <c r="K31" s="202"/>
      <c r="L31" s="202"/>
      <c r="M31" s="196"/>
    </row>
    <row r="32" spans="2:14" ht="16.5" customHeight="1" x14ac:dyDescent="0.25">
      <c r="B32" s="369"/>
      <c r="C32" s="369"/>
      <c r="D32" s="370"/>
      <c r="E32" s="232"/>
      <c r="F32" s="177"/>
      <c r="G32" s="177"/>
      <c r="H32" s="177"/>
      <c r="I32" s="177"/>
      <c r="J32" s="177"/>
      <c r="K32" s="177"/>
      <c r="L32" s="177"/>
      <c r="M32" s="196"/>
    </row>
    <row r="33" spans="2:13 16384:16384" s="205" customFormat="1" ht="21.75" customHeight="1" x14ac:dyDescent="0.25">
      <c r="B33" s="371" t="str">
        <f>"Day's: "&amp;COUNTIF(F29:L29,"&gt;0")</f>
        <v>Day's: 5</v>
      </c>
      <c r="C33" s="209" t="s">
        <v>117</v>
      </c>
      <c r="D33" s="218">
        <f>IF(C34,SUM(F32:L32)/C29,XFD33/1000)</f>
        <v>0</v>
      </c>
      <c r="E33" s="204"/>
      <c r="F33" s="207">
        <f t="shared" ref="F33:L33" si="1">IFERROR(MATCH(F31,Time_Eva,0),0)</f>
        <v>0</v>
      </c>
      <c r="G33" s="207">
        <f t="shared" si="1"/>
        <v>0</v>
      </c>
      <c r="H33" s="207">
        <f t="shared" si="1"/>
        <v>0</v>
      </c>
      <c r="I33" s="207">
        <f t="shared" si="1"/>
        <v>0</v>
      </c>
      <c r="J33" s="207">
        <f t="shared" si="1"/>
        <v>0</v>
      </c>
      <c r="K33" s="207">
        <f t="shared" si="1"/>
        <v>0</v>
      </c>
      <c r="L33" s="207">
        <f t="shared" si="1"/>
        <v>0</v>
      </c>
      <c r="M33" s="196"/>
      <c r="XFD33">
        <f>SUM(E33:L33)</f>
        <v>0</v>
      </c>
    </row>
    <row r="34" spans="2:13 16384:16384" ht="23.25" customHeight="1" x14ac:dyDescent="0.25">
      <c r="B34" s="372"/>
      <c r="C34" s="208">
        <f>COUNTIF(F32:L32,"&gt;0")</f>
        <v>0</v>
      </c>
      <c r="D34" s="217" t="s">
        <v>124</v>
      </c>
      <c r="E34" s="210"/>
      <c r="F34" s="217"/>
      <c r="G34" s="217"/>
      <c r="H34" s="217"/>
      <c r="I34" s="217"/>
      <c r="J34" s="217"/>
      <c r="K34" s="217"/>
      <c r="L34" s="217"/>
    </row>
    <row r="35" spans="2:13 16384:16384" ht="16.5" customHeight="1" x14ac:dyDescent="0.3">
      <c r="B35" s="178"/>
      <c r="C35" s="178"/>
      <c r="D35" s="178"/>
      <c r="E35" s="232"/>
      <c r="F35" s="178"/>
      <c r="G35" s="178"/>
      <c r="H35" s="178"/>
      <c r="I35" s="178"/>
      <c r="J35" s="178"/>
      <c r="K35" s="178"/>
      <c r="L35" s="178"/>
      <c r="M35" s="196"/>
    </row>
    <row r="36" spans="2:13 16384:16384" ht="16.5" customHeight="1" x14ac:dyDescent="0.25">
      <c r="B36" s="366" t="s">
        <v>106</v>
      </c>
      <c r="C36" s="367">
        <f>SUM(F36:L36)</f>
        <v>40</v>
      </c>
      <c r="D36" s="368" t="s">
        <v>105</v>
      </c>
      <c r="E36" s="232"/>
      <c r="F36" s="190">
        <f>IFERROR(INDEX(Hr,MATCH($B38,Sun,0),0),0)</f>
        <v>0</v>
      </c>
      <c r="G36" s="190">
        <f>IFERROR(INDEX(Hr,MATCH($B38,Mon,0),0),0)</f>
        <v>8</v>
      </c>
      <c r="H36" s="190">
        <f>IFERROR(INDEX(Hr,MATCH($B38,Tue,0),0),0)</f>
        <v>8</v>
      </c>
      <c r="I36" s="190">
        <f>IFERROR(INDEX(Hr,MATCH($B38,Wed,0),0),0)</f>
        <v>0</v>
      </c>
      <c r="J36" s="190">
        <f>IFERROR(INDEX(Hr,MATCH($B38,Thr,0),0),0)</f>
        <v>8</v>
      </c>
      <c r="K36" s="190">
        <f>IFERROR(INDEX(Hr,MATCH($B38,Fri,0),0),0)</f>
        <v>8</v>
      </c>
      <c r="L36" s="190">
        <f>IFERROR(INDEX(Hr,MATCH($B38,Sat,0),0),0)</f>
        <v>8</v>
      </c>
      <c r="M36" s="196"/>
    </row>
    <row r="37" spans="2:13 16384:16384" ht="16.5" customHeight="1" x14ac:dyDescent="0.25">
      <c r="B37" s="366"/>
      <c r="C37" s="367"/>
      <c r="D37" s="368"/>
      <c r="E37" s="232"/>
      <c r="F37" s="203" t="str">
        <f>IFERROR(INDEX(Tour,MATCH($B38,Sun,0),0),"Off")</f>
        <v>Off</v>
      </c>
      <c r="G37" s="203" t="str">
        <f>IFERROR(INDEX(Tour,MATCH($B38,Mon,0),0),"Off")</f>
        <v>06:00--14:30</v>
      </c>
      <c r="H37" s="203" t="str">
        <f>IFERROR(INDEX(Tour,MATCH($B38,Tue,0),0),"Off")</f>
        <v>06:00--14:30</v>
      </c>
      <c r="I37" s="203" t="str">
        <f>IFERROR(INDEX(Tour,MATCH($B38,Wed,0),0),"Off")</f>
        <v>Off</v>
      </c>
      <c r="J37" s="203" t="str">
        <f>IFERROR(INDEX(Tour,MATCH($B38,Thr,0),0),"Off")</f>
        <v>06:00--14:30</v>
      </c>
      <c r="K37" s="203" t="str">
        <f>IFERROR(INDEX(Tour,MATCH($B38,Fri,0),0),"Off")</f>
        <v>06:00--14:30</v>
      </c>
      <c r="L37" s="203" t="str">
        <f>IFERROR(INDEX(Tour,MATCH($B38,Sat,0),0),"Off")</f>
        <v>06:00--14:30</v>
      </c>
      <c r="M37" s="196"/>
    </row>
    <row r="38" spans="2:13 16384:16384" ht="16.5" customHeight="1" x14ac:dyDescent="0.25">
      <c r="B38" s="369" t="s">
        <v>44</v>
      </c>
      <c r="C38" s="369"/>
      <c r="D38" s="370">
        <f>SUM(F39:L39)</f>
        <v>0</v>
      </c>
      <c r="E38" s="232"/>
      <c r="F38" s="202"/>
      <c r="G38" s="202"/>
      <c r="H38" s="202"/>
      <c r="I38" s="202"/>
      <c r="J38" s="202"/>
      <c r="K38" s="202"/>
      <c r="L38" s="202"/>
      <c r="M38" s="196"/>
    </row>
    <row r="39" spans="2:13 16384:16384" ht="16.5" customHeight="1" x14ac:dyDescent="0.25">
      <c r="B39" s="369"/>
      <c r="C39" s="369"/>
      <c r="D39" s="370"/>
      <c r="E39" s="232"/>
      <c r="F39" s="177"/>
      <c r="G39" s="177"/>
      <c r="H39" s="177"/>
      <c r="I39" s="177"/>
      <c r="J39" s="177"/>
      <c r="K39" s="177"/>
      <c r="L39" s="177"/>
      <c r="M39" s="196"/>
    </row>
    <row r="40" spans="2:13 16384:16384" s="205" customFormat="1" ht="21.75" customHeight="1" x14ac:dyDescent="0.25">
      <c r="B40" s="371" t="str">
        <f>"Day's: "&amp;COUNTIF(F36:L36,"&gt;0")</f>
        <v>Day's: 5</v>
      </c>
      <c r="C40" s="209" t="s">
        <v>117</v>
      </c>
      <c r="D40" s="218">
        <f>IF(C41,SUM(F39:L39)/C36,XFD40/1000)</f>
        <v>0</v>
      </c>
      <c r="E40" s="204"/>
      <c r="F40" s="207">
        <f t="shared" ref="F40:L40" si="2">IFERROR(MATCH(F38,Time_Eva,0),0)</f>
        <v>0</v>
      </c>
      <c r="G40" s="207">
        <f t="shared" si="2"/>
        <v>0</v>
      </c>
      <c r="H40" s="207">
        <f t="shared" si="2"/>
        <v>0</v>
      </c>
      <c r="I40" s="207">
        <f t="shared" si="2"/>
        <v>0</v>
      </c>
      <c r="J40" s="207">
        <f t="shared" si="2"/>
        <v>0</v>
      </c>
      <c r="K40" s="207">
        <f t="shared" si="2"/>
        <v>0</v>
      </c>
      <c r="L40" s="207">
        <f t="shared" si="2"/>
        <v>0</v>
      </c>
      <c r="M40" s="196"/>
      <c r="XFD40">
        <f>SUM(E40:L40)</f>
        <v>0</v>
      </c>
    </row>
    <row r="41" spans="2:13 16384:16384" ht="23.25" customHeight="1" x14ac:dyDescent="0.25">
      <c r="B41" s="372"/>
      <c r="C41" s="208">
        <f>COUNTIF(F39:L39,"&gt;0")</f>
        <v>0</v>
      </c>
      <c r="D41" s="217" t="s">
        <v>124</v>
      </c>
      <c r="E41" s="210"/>
      <c r="F41" s="217"/>
      <c r="G41" s="217"/>
      <c r="H41" s="217"/>
      <c r="I41" s="217"/>
      <c r="J41" s="217"/>
      <c r="K41" s="217"/>
      <c r="L41" s="217"/>
    </row>
    <row r="42" spans="2:13 16384:16384" ht="16.5" customHeight="1" x14ac:dyDescent="0.3">
      <c r="B42" s="178"/>
      <c r="C42" s="178"/>
      <c r="D42" s="178"/>
      <c r="E42" s="232"/>
      <c r="F42" s="178"/>
      <c r="G42" s="178"/>
      <c r="H42" s="178"/>
      <c r="I42" s="178"/>
      <c r="J42" s="178"/>
      <c r="K42" s="178"/>
      <c r="L42" s="178"/>
      <c r="M42" s="196"/>
    </row>
    <row r="43" spans="2:13 16384:16384" ht="16.5" customHeight="1" x14ac:dyDescent="0.25">
      <c r="B43" s="366" t="s">
        <v>106</v>
      </c>
      <c r="C43" s="367">
        <f>SUM(F43:L43)</f>
        <v>38</v>
      </c>
      <c r="D43" s="368" t="s">
        <v>105</v>
      </c>
      <c r="E43" s="232"/>
      <c r="F43" s="190">
        <f>IFERROR(INDEX(Hr,MATCH($B45,Sun,0),0),0)</f>
        <v>6</v>
      </c>
      <c r="G43" s="190">
        <f>IFERROR(INDEX(Hr,MATCH($B45,Mon,0),0),0)</f>
        <v>0</v>
      </c>
      <c r="H43" s="190">
        <f>IFERROR(INDEX(Hr,MATCH($B45,Tue,0),0),0)</f>
        <v>8</v>
      </c>
      <c r="I43" s="190">
        <f>IFERROR(INDEX(Hr,MATCH($B45,Wed,0),0),0)</f>
        <v>8</v>
      </c>
      <c r="J43" s="190">
        <f>IFERROR(INDEX(Hr,MATCH($B45,Thr,0),0),0)</f>
        <v>8</v>
      </c>
      <c r="K43" s="190">
        <f>IFERROR(INDEX(Hr,MATCH($B45,Fri,0),0),0)</f>
        <v>8</v>
      </c>
      <c r="L43" s="190">
        <f>IFERROR(INDEX(Hr,MATCH($B45,Sat,0),0),0)</f>
        <v>0</v>
      </c>
      <c r="M43" s="196"/>
    </row>
    <row r="44" spans="2:13 16384:16384" ht="16.5" customHeight="1" x14ac:dyDescent="0.25">
      <c r="B44" s="366"/>
      <c r="C44" s="367"/>
      <c r="D44" s="368"/>
      <c r="E44" s="232"/>
      <c r="F44" s="203" t="str">
        <f>IFERROR(INDEX(Tour,MATCH($B45,Sun,0),0),"Off")</f>
        <v>11:00--17:00</v>
      </c>
      <c r="G44" s="203" t="str">
        <f>IFERROR(INDEX(Tour,MATCH($B45,Mon,0),0),"Off")</f>
        <v>Off</v>
      </c>
      <c r="H44" s="203" t="str">
        <f>IFERROR(INDEX(Tour,MATCH($B45,Tue,0),0),"Off")</f>
        <v>06:00--14:30</v>
      </c>
      <c r="I44" s="203" t="str">
        <f>IFERROR(INDEX(Tour,MATCH($B45,Wed,0),0),"Off")</f>
        <v>06:00--14:30</v>
      </c>
      <c r="J44" s="203" t="str">
        <f>IFERROR(INDEX(Tour,MATCH($B45,Thr,0),0),"Off")</f>
        <v>06:00--14:30</v>
      </c>
      <c r="K44" s="203" t="str">
        <f>IFERROR(INDEX(Tour,MATCH($B45,Fri,0),0),"Off")</f>
        <v>06:00--14:30</v>
      </c>
      <c r="L44" s="203" t="str">
        <f>IFERROR(INDEX(Tour,MATCH($B45,Sat,0),0),"Off")</f>
        <v>Off</v>
      </c>
      <c r="M44" s="196"/>
    </row>
    <row r="45" spans="2:13 16384:16384" ht="16.5" customHeight="1" x14ac:dyDescent="0.25">
      <c r="B45" s="369" t="s">
        <v>41</v>
      </c>
      <c r="C45" s="369"/>
      <c r="D45" s="370">
        <f>SUM(F46:L46)</f>
        <v>0</v>
      </c>
      <c r="E45" s="232"/>
      <c r="F45" s="202"/>
      <c r="G45" s="202"/>
      <c r="H45" s="202"/>
      <c r="I45" s="202"/>
      <c r="J45" s="202"/>
      <c r="K45" s="202"/>
      <c r="L45" s="202"/>
      <c r="M45" s="196"/>
    </row>
    <row r="46" spans="2:13 16384:16384" ht="16.5" customHeight="1" x14ac:dyDescent="0.25">
      <c r="B46" s="369"/>
      <c r="C46" s="369"/>
      <c r="D46" s="370"/>
      <c r="E46" s="232"/>
      <c r="F46" s="177"/>
      <c r="G46" s="177"/>
      <c r="H46" s="177"/>
      <c r="I46" s="177"/>
      <c r="J46" s="177"/>
      <c r="K46" s="177"/>
      <c r="L46" s="177"/>
      <c r="M46" s="196"/>
    </row>
    <row r="47" spans="2:13 16384:16384" s="205" customFormat="1" ht="21.75" customHeight="1" x14ac:dyDescent="0.25">
      <c r="B47" s="371" t="str">
        <f>"Day's: "&amp;COUNTIF(F43:L43,"&gt;0")</f>
        <v>Day's: 5</v>
      </c>
      <c r="C47" s="209" t="s">
        <v>117</v>
      </c>
      <c r="D47" s="218">
        <f>IF(C48,SUM(F46:L46)/C43,XFD47/1000)</f>
        <v>0</v>
      </c>
      <c r="E47" s="204"/>
      <c r="F47" s="207">
        <f t="shared" ref="F47:L47" si="3">IFERROR(MATCH(F45,Time_Eva,0),0)</f>
        <v>0</v>
      </c>
      <c r="G47" s="207">
        <f t="shared" si="3"/>
        <v>0</v>
      </c>
      <c r="H47" s="207">
        <f t="shared" si="3"/>
        <v>0</v>
      </c>
      <c r="I47" s="207">
        <f t="shared" si="3"/>
        <v>0</v>
      </c>
      <c r="J47" s="207">
        <f t="shared" si="3"/>
        <v>0</v>
      </c>
      <c r="K47" s="207">
        <f t="shared" si="3"/>
        <v>0</v>
      </c>
      <c r="L47" s="207">
        <f t="shared" si="3"/>
        <v>0</v>
      </c>
      <c r="M47" s="196"/>
      <c r="XFD47">
        <f>SUM(E47:L47)</f>
        <v>0</v>
      </c>
    </row>
    <row r="48" spans="2:13 16384:16384" ht="23.25" customHeight="1" x14ac:dyDescent="0.25">
      <c r="B48" s="372"/>
      <c r="C48" s="208">
        <f>COUNTIF(F46:L46,"&gt;0")</f>
        <v>0</v>
      </c>
      <c r="D48" s="217" t="s">
        <v>124</v>
      </c>
      <c r="E48" s="210"/>
      <c r="F48" s="217"/>
      <c r="G48" s="217"/>
      <c r="H48" s="217"/>
      <c r="I48" s="217"/>
      <c r="J48" s="217"/>
      <c r="K48" s="217"/>
      <c r="L48" s="217"/>
    </row>
    <row r="49" spans="2:13 16384:16384" ht="16.5" customHeight="1" x14ac:dyDescent="0.3">
      <c r="B49" s="178"/>
      <c r="C49" s="178"/>
      <c r="D49" s="178"/>
      <c r="E49" s="232"/>
      <c r="F49" s="178"/>
      <c r="G49" s="178"/>
      <c r="H49" s="178"/>
      <c r="I49" s="178"/>
      <c r="J49" s="178"/>
      <c r="K49" s="178"/>
      <c r="L49" s="178"/>
      <c r="M49" s="196"/>
    </row>
    <row r="50" spans="2:13 16384:16384" ht="16.5" customHeight="1" x14ac:dyDescent="0.25">
      <c r="B50" s="366" t="s">
        <v>106</v>
      </c>
      <c r="C50" s="367">
        <f>SUM(F50:L50)</f>
        <v>40</v>
      </c>
      <c r="D50" s="368" t="s">
        <v>105</v>
      </c>
      <c r="E50" s="232"/>
      <c r="F50" s="190">
        <f>IFERROR(INDEX(Hr,MATCH($B52,Sun,0),0),0)</f>
        <v>0</v>
      </c>
      <c r="G50" s="190">
        <f>IFERROR(INDEX(Hr,MATCH($B52,Mon,0),0),0)</f>
        <v>8</v>
      </c>
      <c r="H50" s="190">
        <f>IFERROR(INDEX(Hr,MATCH($B52,Tue,0),0),0)</f>
        <v>8</v>
      </c>
      <c r="I50" s="190">
        <f>IFERROR(INDEX(Hr,MATCH($B52,Wed,0),0),0)</f>
        <v>8</v>
      </c>
      <c r="J50" s="190">
        <f>IFERROR(INDEX(Hr,MATCH($B52,Thr,0),0),0)</f>
        <v>8</v>
      </c>
      <c r="K50" s="190">
        <f>IFERROR(INDEX(Hr,MATCH($B52,Fri,0),0),0)</f>
        <v>0</v>
      </c>
      <c r="L50" s="190">
        <f>IFERROR(INDEX(Hr,MATCH($B52,Sat,0),0),0)</f>
        <v>8</v>
      </c>
      <c r="M50" s="196"/>
    </row>
    <row r="51" spans="2:13 16384:16384" ht="16.5" customHeight="1" x14ac:dyDescent="0.25">
      <c r="B51" s="366"/>
      <c r="C51" s="367"/>
      <c r="D51" s="368"/>
      <c r="E51" s="232"/>
      <c r="F51" s="203" t="str">
        <f>IFERROR(INDEX(Tour,MATCH($B52,Sun,0),0),"Off")</f>
        <v>Off</v>
      </c>
      <c r="G51" s="203" t="str">
        <f>IFERROR(INDEX(Tour,MATCH($B52,Mon,0),0),"Off")</f>
        <v>13:30--22:00</v>
      </c>
      <c r="H51" s="203" t="str">
        <f>IFERROR(INDEX(Tour,MATCH($B52,Tue,0),0),"Off")</f>
        <v>13:30--22:00</v>
      </c>
      <c r="I51" s="203" t="str">
        <f>IFERROR(INDEX(Tour,MATCH($B52,Wed,0),0),"Off")</f>
        <v>13:30--22:00</v>
      </c>
      <c r="J51" s="203" t="str">
        <f>IFERROR(INDEX(Tour,MATCH($B52,Thr,0),0),"Off")</f>
        <v>13:30--22:00</v>
      </c>
      <c r="K51" s="203" t="str">
        <f>IFERROR(INDEX(Tour,MATCH($B52,Fri,0),0),"Off")</f>
        <v>Off</v>
      </c>
      <c r="L51" s="203" t="str">
        <f>IFERROR(INDEX(Tour,MATCH($B52,Sat,0),0),"Off")</f>
        <v>06:00--14:30</v>
      </c>
      <c r="M51" s="196"/>
    </row>
    <row r="52" spans="2:13 16384:16384" ht="16.5" customHeight="1" x14ac:dyDescent="0.25">
      <c r="B52" s="369" t="s">
        <v>39</v>
      </c>
      <c r="C52" s="369"/>
      <c r="D52" s="370">
        <f>SUM(F53:L53)</f>
        <v>0</v>
      </c>
      <c r="E52" s="232"/>
      <c r="F52" s="202"/>
      <c r="G52" s="202"/>
      <c r="H52" s="202"/>
      <c r="I52" s="202"/>
      <c r="J52" s="202"/>
      <c r="K52" s="202"/>
      <c r="L52" s="202"/>
      <c r="M52" s="196"/>
    </row>
    <row r="53" spans="2:13 16384:16384" ht="16.5" customHeight="1" x14ac:dyDescent="0.25">
      <c r="B53" s="369"/>
      <c r="C53" s="369"/>
      <c r="D53" s="370"/>
      <c r="E53" s="232"/>
      <c r="F53" s="177"/>
      <c r="G53" s="177"/>
      <c r="H53" s="177"/>
      <c r="I53" s="177"/>
      <c r="J53" s="177"/>
      <c r="K53" s="177"/>
      <c r="L53" s="177"/>
      <c r="M53" s="196"/>
    </row>
    <row r="54" spans="2:13 16384:16384" s="205" customFormat="1" ht="21.75" customHeight="1" x14ac:dyDescent="0.25">
      <c r="B54" s="371" t="str">
        <f>"Day's: "&amp;COUNTIF(F50:L50,"&gt;0")</f>
        <v>Day's: 5</v>
      </c>
      <c r="C54" s="209" t="s">
        <v>117</v>
      </c>
      <c r="D54" s="218">
        <f>IF(C55,SUM(F53:L53)/C50,XFD54/1000)</f>
        <v>0</v>
      </c>
      <c r="E54" s="204"/>
      <c r="F54" s="207">
        <f t="shared" ref="F54:L54" si="4">IFERROR(MATCH(F52,Time_Eva,0),0)</f>
        <v>0</v>
      </c>
      <c r="G54" s="207">
        <f t="shared" si="4"/>
        <v>0</v>
      </c>
      <c r="H54" s="207">
        <f t="shared" si="4"/>
        <v>0</v>
      </c>
      <c r="I54" s="207">
        <f t="shared" si="4"/>
        <v>0</v>
      </c>
      <c r="J54" s="207">
        <f t="shared" si="4"/>
        <v>0</v>
      </c>
      <c r="K54" s="207">
        <f t="shared" si="4"/>
        <v>0</v>
      </c>
      <c r="L54" s="207">
        <f t="shared" si="4"/>
        <v>0</v>
      </c>
      <c r="M54" s="196"/>
      <c r="XFD54">
        <f>SUM(E54:L54)</f>
        <v>0</v>
      </c>
    </row>
    <row r="55" spans="2:13 16384:16384" ht="23.25" customHeight="1" x14ac:dyDescent="0.25">
      <c r="B55" s="372"/>
      <c r="C55" s="208">
        <f>COUNTIF(F53:L53,"&gt;0")</f>
        <v>0</v>
      </c>
      <c r="D55" s="217" t="s">
        <v>124</v>
      </c>
      <c r="E55" s="210"/>
      <c r="F55" s="217"/>
      <c r="G55" s="217"/>
      <c r="H55" s="217"/>
      <c r="I55" s="217"/>
      <c r="J55" s="217"/>
      <c r="K55" s="217"/>
      <c r="L55" s="217"/>
    </row>
    <row r="56" spans="2:13 16384:16384" ht="16.5" customHeight="1" x14ac:dyDescent="0.3">
      <c r="B56" s="178"/>
      <c r="C56" s="178"/>
      <c r="D56" s="178"/>
      <c r="E56" s="232"/>
      <c r="F56" s="178"/>
      <c r="G56" s="178"/>
      <c r="H56" s="178"/>
      <c r="I56" s="178"/>
      <c r="J56" s="178"/>
      <c r="K56" s="178"/>
      <c r="L56" s="178"/>
      <c r="M56" s="196"/>
    </row>
    <row r="57" spans="2:13 16384:16384" ht="16.5" customHeight="1" x14ac:dyDescent="0.25">
      <c r="B57" s="366" t="s">
        <v>106</v>
      </c>
      <c r="C57" s="367">
        <f>SUM(F57:L57)</f>
        <v>34</v>
      </c>
      <c r="D57" s="368" t="s">
        <v>105</v>
      </c>
      <c r="E57" s="232"/>
      <c r="F57" s="190">
        <f>IFERROR(INDEX(Hr,MATCH($B59,Sun,0),0),0)</f>
        <v>12</v>
      </c>
      <c r="G57" s="190">
        <f>IFERROR(INDEX(Hr,MATCH($B59,Mon,0),0),0)</f>
        <v>6</v>
      </c>
      <c r="H57" s="190">
        <f>IFERROR(INDEX(Hr,MATCH($B59,Tue,0),0),0)</f>
        <v>8</v>
      </c>
      <c r="I57" s="190">
        <f>IFERROR(INDEX(Hr,MATCH($B59,Wed,0),0),0)</f>
        <v>8</v>
      </c>
      <c r="J57" s="190">
        <f>IFERROR(INDEX(Hr,MATCH($B59,Thr,0),0),0)</f>
        <v>0</v>
      </c>
      <c r="K57" s="190">
        <f>IFERROR(INDEX(Hr,MATCH($B59,Fri,0),0),0)</f>
        <v>0</v>
      </c>
      <c r="L57" s="190">
        <f>IFERROR(INDEX(Hr,MATCH($B59,Sat,0),0),0)</f>
        <v>0</v>
      </c>
      <c r="M57" s="196"/>
    </row>
    <row r="58" spans="2:13 16384:16384" ht="16.5" customHeight="1" x14ac:dyDescent="0.25">
      <c r="B58" s="366"/>
      <c r="C58" s="367"/>
      <c r="D58" s="368"/>
      <c r="E58" s="232"/>
      <c r="F58" s="203" t="str">
        <f>IFERROR(INDEX(Tour,MATCH($B59,Sun,0),0),"Off")</f>
        <v>07:00--20:00</v>
      </c>
      <c r="G58" s="203" t="str">
        <f>IFERROR(INDEX(Tour,MATCH($B59,Mon,0),0),"Off")</f>
        <v>08:00--14:00</v>
      </c>
      <c r="H58" s="203" t="str">
        <f>IFERROR(INDEX(Tour,MATCH($B59,Tue,0),0),"Off")</f>
        <v>06:00--14:30</v>
      </c>
      <c r="I58" s="203" t="str">
        <f>IFERROR(INDEX(Tour,MATCH($B59,Wed,0),0),"Off")</f>
        <v>06:00--14:30</v>
      </c>
      <c r="J58" s="203" t="str">
        <f>IFERROR(INDEX(Tour,MATCH($B59,Thr,0),0),"Off")</f>
        <v>Off</v>
      </c>
      <c r="K58" s="203" t="str">
        <f>IFERROR(INDEX(Tour,MATCH($B59,Fri,0),0),"Off")</f>
        <v>Off</v>
      </c>
      <c r="L58" s="203" t="str">
        <f>IFERROR(INDEX(Tour,MATCH($B59,Sat,0),0),"Off")</f>
        <v>Off</v>
      </c>
      <c r="M58" s="196"/>
    </row>
    <row r="59" spans="2:13 16384:16384" ht="16.5" customHeight="1" x14ac:dyDescent="0.25">
      <c r="B59" s="369" t="s">
        <v>45</v>
      </c>
      <c r="C59" s="369"/>
      <c r="D59" s="370">
        <f>SUM(F60:L60)</f>
        <v>0</v>
      </c>
      <c r="E59" s="232"/>
      <c r="F59" s="202"/>
      <c r="G59" s="202"/>
      <c r="H59" s="202"/>
      <c r="I59" s="202"/>
      <c r="J59" s="202"/>
      <c r="K59" s="202"/>
      <c r="L59" s="202"/>
      <c r="M59" s="196"/>
    </row>
    <row r="60" spans="2:13 16384:16384" ht="16.5" customHeight="1" x14ac:dyDescent="0.25">
      <c r="B60" s="369"/>
      <c r="C60" s="369"/>
      <c r="D60" s="370"/>
      <c r="E60" s="232"/>
      <c r="F60" s="177"/>
      <c r="G60" s="177"/>
      <c r="H60" s="177"/>
      <c r="I60" s="177"/>
      <c r="J60" s="177"/>
      <c r="K60" s="177"/>
      <c r="L60" s="177"/>
      <c r="M60" s="196"/>
    </row>
    <row r="61" spans="2:13 16384:16384" s="205" customFormat="1" ht="21.75" customHeight="1" x14ac:dyDescent="0.25">
      <c r="B61" s="371" t="str">
        <f>"Day's: "&amp;COUNTIF(F57:L57,"&gt;0")</f>
        <v>Day's: 4</v>
      </c>
      <c r="C61" s="209" t="s">
        <v>117</v>
      </c>
      <c r="D61" s="218">
        <f>IF(C62,SUM(F60:L60)/C57,XFD61/1000)</f>
        <v>0</v>
      </c>
      <c r="E61" s="204"/>
      <c r="F61" s="207">
        <f t="shared" ref="F61:L61" si="5">IFERROR(MATCH(F59,Time_Eva,0),0)</f>
        <v>0</v>
      </c>
      <c r="G61" s="207">
        <f t="shared" si="5"/>
        <v>0</v>
      </c>
      <c r="H61" s="207">
        <f t="shared" si="5"/>
        <v>0</v>
      </c>
      <c r="I61" s="207">
        <f t="shared" si="5"/>
        <v>0</v>
      </c>
      <c r="J61" s="207">
        <f t="shared" si="5"/>
        <v>0</v>
      </c>
      <c r="K61" s="207">
        <f t="shared" si="5"/>
        <v>0</v>
      </c>
      <c r="L61" s="207">
        <f t="shared" si="5"/>
        <v>0</v>
      </c>
      <c r="M61" s="196"/>
      <c r="XFD61">
        <f>SUM(E61:L61)</f>
        <v>0</v>
      </c>
    </row>
    <row r="62" spans="2:13 16384:16384" ht="23.25" customHeight="1" x14ac:dyDescent="0.25">
      <c r="B62" s="372"/>
      <c r="C62" s="208">
        <f>COUNTIF(F60:L60,"&gt;0")</f>
        <v>0</v>
      </c>
      <c r="D62" s="217" t="s">
        <v>124</v>
      </c>
      <c r="E62" s="210"/>
      <c r="F62" s="217"/>
      <c r="G62" s="217"/>
      <c r="H62" s="217"/>
      <c r="I62" s="217"/>
      <c r="J62" s="217"/>
      <c r="K62" s="217"/>
      <c r="L62" s="217"/>
    </row>
    <row r="63" spans="2:13 16384:16384" ht="16.5" customHeight="1" x14ac:dyDescent="0.3">
      <c r="B63" s="178"/>
      <c r="C63" s="178"/>
      <c r="D63" s="178"/>
      <c r="E63" s="232"/>
      <c r="F63" s="178"/>
      <c r="G63" s="178"/>
      <c r="H63" s="178"/>
      <c r="I63" s="178"/>
      <c r="J63" s="178"/>
      <c r="K63" s="178"/>
      <c r="L63" s="178"/>
      <c r="M63" s="196"/>
    </row>
    <row r="64" spans="2:13 16384:16384" ht="16.5" customHeight="1" x14ac:dyDescent="0.25">
      <c r="B64" s="366" t="s">
        <v>106</v>
      </c>
      <c r="C64" s="367">
        <f>SUM(F64:L64)</f>
        <v>36</v>
      </c>
      <c r="D64" s="368" t="s">
        <v>105</v>
      </c>
      <c r="E64" s="232"/>
      <c r="F64" s="190">
        <f>IFERROR(INDEX(Hr,MATCH($B66,Sun,0),0),0)</f>
        <v>6</v>
      </c>
      <c r="G64" s="190">
        <f>IFERROR(INDEX(Hr,MATCH($B66,Mon,0),0),0)</f>
        <v>6</v>
      </c>
      <c r="H64" s="190">
        <f>IFERROR(INDEX(Hr,MATCH($B66,Tue,0),0),0)</f>
        <v>0</v>
      </c>
      <c r="I64" s="190">
        <f>IFERROR(INDEX(Hr,MATCH($B66,Wed,0),0),0)</f>
        <v>0</v>
      </c>
      <c r="J64" s="190">
        <f>IFERROR(INDEX(Hr,MATCH($B66,Thr,0),0),0)</f>
        <v>8</v>
      </c>
      <c r="K64" s="190">
        <f>IFERROR(INDEX(Hr,MATCH($B66,Fri,0),0),0)</f>
        <v>8</v>
      </c>
      <c r="L64" s="190">
        <f>IFERROR(INDEX(Hr,MATCH($B66,Sat,0),0),0)</f>
        <v>8</v>
      </c>
      <c r="M64" s="196"/>
    </row>
    <row r="65" spans="2:13 16384:16384" ht="16.5" customHeight="1" x14ac:dyDescent="0.25">
      <c r="B65" s="366"/>
      <c r="C65" s="367"/>
      <c r="D65" s="368"/>
      <c r="E65" s="232"/>
      <c r="F65" s="203" t="str">
        <f>IFERROR(INDEX(Tour,MATCH($B66,Sun,0),0),"Off")</f>
        <v>08:00--14:00</v>
      </c>
      <c r="G65" s="203" t="str">
        <f>IFERROR(INDEX(Tour,MATCH($B66,Mon,0),0),"Off")</f>
        <v>14:00-20:00</v>
      </c>
      <c r="H65" s="203" t="str">
        <f>IFERROR(INDEX(Tour,MATCH($B66,Tue,0),0),"Off")</f>
        <v>Off</v>
      </c>
      <c r="I65" s="203" t="str">
        <f>IFERROR(INDEX(Tour,MATCH($B66,Wed,0),0),"Off")</f>
        <v>Off</v>
      </c>
      <c r="J65" s="203" t="str">
        <f>IFERROR(INDEX(Tour,MATCH($B66,Thr,0),0),"Off")</f>
        <v>13:30--22:00</v>
      </c>
      <c r="K65" s="203" t="str">
        <f>IFERROR(INDEX(Tour,MATCH($B66,Fri,0),0),"Off")</f>
        <v>13:30--22:00</v>
      </c>
      <c r="L65" s="203" t="str">
        <f>IFERROR(INDEX(Tour,MATCH($B66,Sat,0),0),"Off")</f>
        <v>13:30--22:00</v>
      </c>
      <c r="M65" s="196"/>
    </row>
    <row r="66" spans="2:13 16384:16384" ht="16.5" customHeight="1" x14ac:dyDescent="0.25">
      <c r="B66" s="369" t="s">
        <v>42</v>
      </c>
      <c r="C66" s="369"/>
      <c r="D66" s="370">
        <f>SUM(F67:L67)</f>
        <v>0</v>
      </c>
      <c r="E66" s="232"/>
      <c r="F66" s="202"/>
      <c r="G66" s="202"/>
      <c r="H66" s="202"/>
      <c r="I66" s="202"/>
      <c r="J66" s="202"/>
      <c r="K66" s="202"/>
      <c r="L66" s="202"/>
      <c r="M66" s="196"/>
    </row>
    <row r="67" spans="2:13 16384:16384" ht="16.5" customHeight="1" x14ac:dyDescent="0.25">
      <c r="B67" s="369"/>
      <c r="C67" s="369"/>
      <c r="D67" s="370"/>
      <c r="E67" s="232"/>
      <c r="F67" s="177"/>
      <c r="G67" s="177"/>
      <c r="H67" s="177"/>
      <c r="I67" s="177"/>
      <c r="J67" s="177"/>
      <c r="K67" s="177"/>
      <c r="L67" s="177"/>
      <c r="M67" s="196"/>
    </row>
    <row r="68" spans="2:13 16384:16384" s="205" customFormat="1" ht="21.75" customHeight="1" x14ac:dyDescent="0.25">
      <c r="B68" s="371" t="str">
        <f>"Day's: "&amp;COUNTIF(F64:L64,"&gt;0")</f>
        <v>Day's: 5</v>
      </c>
      <c r="C68" s="209" t="s">
        <v>117</v>
      </c>
      <c r="D68" s="218">
        <f>IF(C69,SUM(F67:L67)/C64,XFD68/1000)</f>
        <v>0</v>
      </c>
      <c r="E68" s="204"/>
      <c r="F68" s="207">
        <f t="shared" ref="F68:L68" si="6">IFERROR(MATCH(F66,Time_Eva,0),0)</f>
        <v>0</v>
      </c>
      <c r="G68" s="207">
        <f t="shared" si="6"/>
        <v>0</v>
      </c>
      <c r="H68" s="207">
        <f t="shared" si="6"/>
        <v>0</v>
      </c>
      <c r="I68" s="207">
        <f t="shared" si="6"/>
        <v>0</v>
      </c>
      <c r="J68" s="207">
        <f t="shared" si="6"/>
        <v>0</v>
      </c>
      <c r="K68" s="207">
        <f t="shared" si="6"/>
        <v>0</v>
      </c>
      <c r="L68" s="207">
        <f t="shared" si="6"/>
        <v>0</v>
      </c>
      <c r="M68" s="196"/>
      <c r="XFD68">
        <f>SUM(E68:L68)</f>
        <v>0</v>
      </c>
    </row>
    <row r="69" spans="2:13 16384:16384" ht="23.25" customHeight="1" x14ac:dyDescent="0.25">
      <c r="B69" s="372"/>
      <c r="C69" s="208">
        <f>COUNTIF(F67:L67,"&gt;0")</f>
        <v>0</v>
      </c>
      <c r="D69" s="217" t="s">
        <v>124</v>
      </c>
      <c r="E69" s="210"/>
      <c r="F69" s="217"/>
      <c r="G69" s="217"/>
      <c r="H69" s="217"/>
      <c r="I69" s="217"/>
      <c r="J69" s="217"/>
      <c r="K69" s="217"/>
      <c r="L69" s="217"/>
    </row>
    <row r="70" spans="2:13 16384:16384" ht="16.5" customHeight="1" x14ac:dyDescent="0.3">
      <c r="B70" s="178"/>
      <c r="C70" s="178"/>
      <c r="D70" s="178"/>
      <c r="E70" s="232"/>
      <c r="F70" s="178"/>
      <c r="G70" s="178"/>
      <c r="H70" s="178"/>
      <c r="I70" s="178"/>
      <c r="J70" s="178"/>
      <c r="K70" s="178"/>
      <c r="L70" s="178"/>
      <c r="M70" s="196"/>
    </row>
    <row r="71" spans="2:13 16384:16384" ht="16.5" customHeight="1" x14ac:dyDescent="0.25">
      <c r="B71" s="366" t="s">
        <v>106</v>
      </c>
      <c r="C71" s="367">
        <f>SUM(F71:L71)</f>
        <v>44</v>
      </c>
      <c r="D71" s="368" t="s">
        <v>105</v>
      </c>
      <c r="E71" s="232"/>
      <c r="F71" s="190">
        <f>IFERROR(INDEX(Hr,MATCH($B73,Sun,0),0),0)</f>
        <v>12</v>
      </c>
      <c r="G71" s="190">
        <f>IFERROR(INDEX(Hr,MATCH($B73,Mon,0),0),0)</f>
        <v>8</v>
      </c>
      <c r="H71" s="190">
        <f>IFERROR(INDEX(Hr,MATCH($B73,Tue,0),0),0)</f>
        <v>0</v>
      </c>
      <c r="I71" s="190">
        <f>IFERROR(INDEX(Hr,MATCH($B73,Wed,0),0),0)</f>
        <v>0</v>
      </c>
      <c r="J71" s="190">
        <f>IFERROR(INDEX(Hr,MATCH($B73,Thr,0),0),0)</f>
        <v>8</v>
      </c>
      <c r="K71" s="190">
        <f>IFERROR(INDEX(Hr,MATCH($B73,Fri,0),0),0)</f>
        <v>8</v>
      </c>
      <c r="L71" s="190">
        <f>IFERROR(INDEX(Hr,MATCH($B73,Sat,0),0),0)</f>
        <v>8</v>
      </c>
      <c r="M71" s="196"/>
    </row>
    <row r="72" spans="2:13 16384:16384" ht="16.5" customHeight="1" x14ac:dyDescent="0.25">
      <c r="B72" s="366"/>
      <c r="C72" s="367"/>
      <c r="D72" s="368"/>
      <c r="E72" s="232"/>
      <c r="F72" s="203" t="str">
        <f>IFERROR(INDEX(Tour,MATCH($B73,Sun,0),0),"Off")</f>
        <v>07:00--20:00</v>
      </c>
      <c r="G72" s="203" t="str">
        <f>IFERROR(INDEX(Tour,MATCH($B73,Mon,0),0),"Off")</f>
        <v>13:30--22:00</v>
      </c>
      <c r="H72" s="203" t="str">
        <f>IFERROR(INDEX(Tour,MATCH($B73,Tue,0),0),"Off")</f>
        <v>Off</v>
      </c>
      <c r="I72" s="203" t="str">
        <f>IFERROR(INDEX(Tour,MATCH($B73,Wed,0),0),"Off")</f>
        <v>Off</v>
      </c>
      <c r="J72" s="203" t="str">
        <f>IFERROR(INDEX(Tour,MATCH($B73,Thr,0),0),"Off")</f>
        <v>13:30--22:00</v>
      </c>
      <c r="K72" s="203" t="str">
        <f>IFERROR(INDEX(Tour,MATCH($B73,Fri,0),0),"Off")</f>
        <v>13:30--22:00</v>
      </c>
      <c r="L72" s="203" t="str">
        <f>IFERROR(INDEX(Tour,MATCH($B73,Sat,0),0),"Off")</f>
        <v>13:30--22:00</v>
      </c>
      <c r="M72" s="196"/>
    </row>
    <row r="73" spans="2:13 16384:16384" ht="16.5" customHeight="1" x14ac:dyDescent="0.25">
      <c r="B73" s="369" t="s">
        <v>110</v>
      </c>
      <c r="C73" s="369"/>
      <c r="D73" s="370">
        <f>SUM(F74:L74)</f>
        <v>0</v>
      </c>
      <c r="E73" s="232"/>
      <c r="F73" s="202"/>
      <c r="G73" s="202"/>
      <c r="H73" s="202"/>
      <c r="I73" s="202"/>
      <c r="J73" s="202"/>
      <c r="K73" s="202"/>
      <c r="L73" s="202"/>
      <c r="M73" s="196"/>
    </row>
    <row r="74" spans="2:13 16384:16384" ht="16.5" customHeight="1" x14ac:dyDescent="0.25">
      <c r="B74" s="369"/>
      <c r="C74" s="369"/>
      <c r="D74" s="370"/>
      <c r="E74" s="232"/>
      <c r="F74" s="177"/>
      <c r="G74" s="177"/>
      <c r="H74" s="177"/>
      <c r="I74" s="177"/>
      <c r="J74" s="177"/>
      <c r="K74" s="177"/>
      <c r="L74" s="177"/>
      <c r="M74" s="196"/>
    </row>
    <row r="75" spans="2:13 16384:16384" s="205" customFormat="1" ht="21.75" customHeight="1" x14ac:dyDescent="0.25">
      <c r="B75" s="371" t="str">
        <f>"Day's: "&amp;COUNTIF(F71:L71,"&gt;0")</f>
        <v>Day's: 5</v>
      </c>
      <c r="C75" s="209" t="s">
        <v>117</v>
      </c>
      <c r="D75" s="218">
        <f>IF(C76,SUM(F74:L74)/C71,XFD75/1000)</f>
        <v>0</v>
      </c>
      <c r="E75" s="204"/>
      <c r="F75" s="207">
        <f t="shared" ref="F75:L75" si="7">IFERROR(MATCH(F73,Time_Eva,0),0)</f>
        <v>0</v>
      </c>
      <c r="G75" s="207">
        <f t="shared" si="7"/>
        <v>0</v>
      </c>
      <c r="H75" s="207">
        <f t="shared" si="7"/>
        <v>0</v>
      </c>
      <c r="I75" s="207">
        <f t="shared" si="7"/>
        <v>0</v>
      </c>
      <c r="J75" s="207">
        <f t="shared" si="7"/>
        <v>0</v>
      </c>
      <c r="K75" s="207">
        <f t="shared" si="7"/>
        <v>0</v>
      </c>
      <c r="L75" s="207">
        <f t="shared" si="7"/>
        <v>0</v>
      </c>
      <c r="M75" s="196"/>
      <c r="XFD75">
        <f>SUM(E75:L75)</f>
        <v>0</v>
      </c>
    </row>
    <row r="76" spans="2:13 16384:16384" ht="23.25" customHeight="1" x14ac:dyDescent="0.25">
      <c r="B76" s="372"/>
      <c r="C76" s="208">
        <f>COUNTIF(F74:L74,"&gt;0")</f>
        <v>0</v>
      </c>
      <c r="D76" s="217" t="s">
        <v>124</v>
      </c>
      <c r="E76" s="210"/>
      <c r="F76" s="217"/>
      <c r="G76" s="217"/>
      <c r="H76" s="217"/>
      <c r="I76" s="217"/>
      <c r="J76" s="217"/>
      <c r="K76" s="217"/>
      <c r="L76" s="217"/>
    </row>
    <row r="77" spans="2:13 16384:16384" ht="16.5" customHeight="1" x14ac:dyDescent="0.3">
      <c r="B77" s="178"/>
      <c r="C77" s="178"/>
      <c r="D77" s="178"/>
      <c r="E77" s="232"/>
      <c r="F77" s="178"/>
      <c r="G77" s="178"/>
      <c r="H77" s="178"/>
      <c r="I77" s="178"/>
      <c r="J77" s="178"/>
      <c r="K77" s="178"/>
      <c r="L77" s="178"/>
      <c r="M77" s="196"/>
    </row>
    <row r="78" spans="2:13 16384:16384" ht="16.5" customHeight="1" x14ac:dyDescent="0.25">
      <c r="B78" s="366" t="s">
        <v>106</v>
      </c>
      <c r="C78" s="367">
        <f>SUM(F78:L78)</f>
        <v>24</v>
      </c>
      <c r="D78" s="368" t="s">
        <v>105</v>
      </c>
      <c r="E78" s="232"/>
      <c r="F78" s="190">
        <f>IFERROR(INDEX(Hr,MATCH($B80,Sun,0),0),0)</f>
        <v>0</v>
      </c>
      <c r="G78" s="190">
        <f>IFERROR(INDEX(Hr,MATCH($B80,Mon,0),0),0)</f>
        <v>8</v>
      </c>
      <c r="H78" s="190">
        <f>IFERROR(INDEX(Hr,MATCH($B80,Tue,0),0),0)</f>
        <v>0</v>
      </c>
      <c r="I78" s="190">
        <f>IFERROR(INDEX(Hr,MATCH($B80,Wed,0),0),0)</f>
        <v>8</v>
      </c>
      <c r="J78" s="190">
        <f>IFERROR(INDEX(Hr,MATCH($B80,Thr,0),0),0)</f>
        <v>8</v>
      </c>
      <c r="K78" s="190">
        <f>IFERROR(INDEX(Hr,MATCH($B80,Fri,0),0),0)</f>
        <v>0</v>
      </c>
      <c r="L78" s="190">
        <f>IFERROR(INDEX(Hr,MATCH($B80,Sat,0),0),0)</f>
        <v>0</v>
      </c>
      <c r="M78" s="196"/>
    </row>
    <row r="79" spans="2:13 16384:16384" ht="16.5" customHeight="1" x14ac:dyDescent="0.25">
      <c r="B79" s="366"/>
      <c r="C79" s="367"/>
      <c r="D79" s="368"/>
      <c r="E79" s="232"/>
      <c r="F79" s="203" t="str">
        <f>IFERROR(INDEX(Tour,MATCH($B80,Sun,0),0),"Off")</f>
        <v>Off</v>
      </c>
      <c r="G79" s="203" t="str">
        <f>IFERROR(INDEX(Tour,MATCH($B80,Mon,0),0),"Off")</f>
        <v>06:00--14:30</v>
      </c>
      <c r="H79" s="203" t="str">
        <f>IFERROR(INDEX(Tour,MATCH($B80,Tue,0),0),"Off")</f>
        <v>Off</v>
      </c>
      <c r="I79" s="203" t="str">
        <f>IFERROR(INDEX(Tour,MATCH($B80,Wed,0),0),"Off")</f>
        <v>06:00--14:30</v>
      </c>
      <c r="J79" s="203" t="str">
        <f>IFERROR(INDEX(Tour,MATCH($B80,Thr,0),0),"Off")</f>
        <v>06:00--14:30</v>
      </c>
      <c r="K79" s="203" t="str">
        <f>IFERROR(INDEX(Tour,MATCH($B80,Fri,0),0),"Off")</f>
        <v>Off</v>
      </c>
      <c r="L79" s="203" t="str">
        <f>IFERROR(INDEX(Tour,MATCH($B80,Sat,0),0),"Off")</f>
        <v>Off</v>
      </c>
      <c r="M79" s="196"/>
    </row>
    <row r="80" spans="2:13 16384:16384" ht="16.5" customHeight="1" x14ac:dyDescent="0.25">
      <c r="B80" s="369" t="s">
        <v>43</v>
      </c>
      <c r="C80" s="369"/>
      <c r="D80" s="370">
        <f>SUM(F81:L81)</f>
        <v>0</v>
      </c>
      <c r="E80" s="232"/>
      <c r="F80" s="202"/>
      <c r="G80" s="202"/>
      <c r="H80" s="202"/>
      <c r="I80" s="202"/>
      <c r="J80" s="202"/>
      <c r="K80" s="202"/>
      <c r="L80" s="202"/>
      <c r="M80" s="196"/>
    </row>
    <row r="81" spans="2:13 16384:16384" ht="16.5" customHeight="1" x14ac:dyDescent="0.25">
      <c r="B81" s="369"/>
      <c r="C81" s="369"/>
      <c r="D81" s="370"/>
      <c r="E81" s="232"/>
      <c r="F81" s="177"/>
      <c r="G81" s="177"/>
      <c r="H81" s="177"/>
      <c r="I81" s="177"/>
      <c r="J81" s="177"/>
      <c r="K81" s="177"/>
      <c r="L81" s="177"/>
      <c r="M81" s="196"/>
    </row>
    <row r="82" spans="2:13 16384:16384" s="205" customFormat="1" ht="21.75" customHeight="1" x14ac:dyDescent="0.25">
      <c r="B82" s="371" t="str">
        <f>"Day's: "&amp;COUNTIF(F78:L78,"&gt;0")</f>
        <v>Day's: 3</v>
      </c>
      <c r="C82" s="209" t="s">
        <v>117</v>
      </c>
      <c r="D82" s="218">
        <f>IF(C83,SUM(F81:L81)/C78,XFD82/1000)</f>
        <v>0</v>
      </c>
      <c r="E82" s="204"/>
      <c r="F82" s="207">
        <f t="shared" ref="F82:L82" si="8">IFERROR(MATCH(F80,Time_Eva,0),0)</f>
        <v>0</v>
      </c>
      <c r="G82" s="207">
        <f t="shared" si="8"/>
        <v>0</v>
      </c>
      <c r="H82" s="207">
        <f t="shared" si="8"/>
        <v>0</v>
      </c>
      <c r="I82" s="207">
        <f t="shared" si="8"/>
        <v>0</v>
      </c>
      <c r="J82" s="207">
        <f t="shared" si="8"/>
        <v>0</v>
      </c>
      <c r="K82" s="207">
        <f t="shared" si="8"/>
        <v>0</v>
      </c>
      <c r="L82" s="207">
        <f t="shared" si="8"/>
        <v>0</v>
      </c>
      <c r="M82" s="196"/>
      <c r="XFD82">
        <f>SUM(E82:L82)</f>
        <v>0</v>
      </c>
    </row>
    <row r="83" spans="2:13 16384:16384" ht="23.25" customHeight="1" x14ac:dyDescent="0.25">
      <c r="B83" s="372"/>
      <c r="C83" s="208">
        <f>COUNTIF(F81:L81,"&gt;0")</f>
        <v>0</v>
      </c>
      <c r="D83" s="217" t="s">
        <v>124</v>
      </c>
      <c r="E83" s="210"/>
      <c r="F83" s="217"/>
      <c r="G83" s="217"/>
      <c r="H83" s="217"/>
      <c r="I83" s="217"/>
      <c r="J83" s="217"/>
      <c r="K83" s="217"/>
      <c r="L83" s="217"/>
    </row>
    <row r="84" spans="2:13 16384:16384" ht="16.5" customHeight="1" x14ac:dyDescent="0.3">
      <c r="B84" s="178"/>
      <c r="C84" s="178"/>
      <c r="D84" s="178"/>
      <c r="E84" s="232"/>
      <c r="F84" s="178"/>
      <c r="G84" s="178"/>
      <c r="H84" s="178"/>
      <c r="I84" s="178"/>
      <c r="J84" s="178"/>
      <c r="K84" s="178"/>
      <c r="L84" s="178"/>
      <c r="M84" s="196"/>
    </row>
    <row r="85" spans="2:13 16384:16384" ht="16.5" customHeight="1" x14ac:dyDescent="0.25">
      <c r="B85" s="366" t="s">
        <v>106</v>
      </c>
      <c r="C85" s="367">
        <f>SUM(F85:L85)</f>
        <v>36</v>
      </c>
      <c r="D85" s="368" t="s">
        <v>105</v>
      </c>
      <c r="E85" s="232"/>
      <c r="F85" s="190">
        <f>IFERROR(INDEX(Hr,MATCH($B87,Sun,0),0),0)</f>
        <v>12</v>
      </c>
      <c r="G85" s="190">
        <f>IFERROR(INDEX(Hr,MATCH($B87,Mon,0),0),0)</f>
        <v>8</v>
      </c>
      <c r="H85" s="190">
        <f>IFERROR(INDEX(Hr,MATCH($B87,Tue,0),0),0)</f>
        <v>8</v>
      </c>
      <c r="I85" s="190">
        <f>IFERROR(INDEX(Hr,MATCH($B87,Wed,0),0),0)</f>
        <v>0</v>
      </c>
      <c r="J85" s="190">
        <f>IFERROR(INDEX(Hr,MATCH($B87,Thr,0),0),0)</f>
        <v>0</v>
      </c>
      <c r="K85" s="190">
        <f>IFERROR(INDEX(Hr,MATCH($B87,Fri,0),0),0)</f>
        <v>8</v>
      </c>
      <c r="L85" s="190">
        <f>IFERROR(INDEX(Hr,MATCH($B87,Sat,0),0),0)</f>
        <v>0</v>
      </c>
      <c r="M85" s="196"/>
    </row>
    <row r="86" spans="2:13 16384:16384" ht="16.5" customHeight="1" x14ac:dyDescent="0.25">
      <c r="B86" s="366"/>
      <c r="C86" s="367"/>
      <c r="D86" s="368"/>
      <c r="E86" s="232"/>
      <c r="F86" s="203" t="str">
        <f>IFERROR(INDEX(Tour,MATCH($B87,Sun,0),0),"Off")</f>
        <v>07:00--20:00</v>
      </c>
      <c r="G86" s="203" t="str">
        <f>IFERROR(INDEX(Tour,MATCH($B87,Mon,0),0),"Off")</f>
        <v>13:30--22:00</v>
      </c>
      <c r="H86" s="203" t="str">
        <f>IFERROR(INDEX(Tour,MATCH($B87,Tue,0),0),"Off")</f>
        <v>13:30--22:00</v>
      </c>
      <c r="I86" s="203" t="str">
        <f>IFERROR(INDEX(Tour,MATCH($B87,Wed,0),0),"Off")</f>
        <v>Off</v>
      </c>
      <c r="J86" s="203" t="str">
        <f>IFERROR(INDEX(Tour,MATCH($B87,Thr,0),0),"Off")</f>
        <v>Off</v>
      </c>
      <c r="K86" s="203" t="str">
        <f>IFERROR(INDEX(Tour,MATCH($B87,Fri,0),0),"Off")</f>
        <v>06:00--14:30</v>
      </c>
      <c r="L86" s="203" t="str">
        <f>IFERROR(INDEX(Tour,MATCH($B87,Sat,0),0),"Off")</f>
        <v>Off</v>
      </c>
      <c r="M86" s="196"/>
    </row>
    <row r="87" spans="2:13 16384:16384" ht="16.5" customHeight="1" x14ac:dyDescent="0.25">
      <c r="B87" s="369" t="s">
        <v>85</v>
      </c>
      <c r="C87" s="369"/>
      <c r="D87" s="370">
        <f>SUM(F88:L88)</f>
        <v>0</v>
      </c>
      <c r="E87" s="232"/>
      <c r="F87" s="202"/>
      <c r="G87" s="202"/>
      <c r="H87" s="202"/>
      <c r="I87" s="202"/>
      <c r="J87" s="202"/>
      <c r="K87" s="202"/>
      <c r="L87" s="202"/>
      <c r="M87" s="196"/>
    </row>
    <row r="88" spans="2:13 16384:16384" ht="16.5" customHeight="1" x14ac:dyDescent="0.25">
      <c r="B88" s="369"/>
      <c r="C88" s="369"/>
      <c r="D88" s="370"/>
      <c r="E88" s="232"/>
      <c r="F88" s="177"/>
      <c r="G88" s="177"/>
      <c r="H88" s="177"/>
      <c r="I88" s="177"/>
      <c r="J88" s="177"/>
      <c r="K88" s="177"/>
      <c r="L88" s="177"/>
      <c r="M88" s="196"/>
    </row>
    <row r="89" spans="2:13 16384:16384" s="205" customFormat="1" ht="21.75" customHeight="1" x14ac:dyDescent="0.25">
      <c r="B89" s="371" t="str">
        <f>"Day's: "&amp;COUNTIF(F85:L85,"&gt;0")</f>
        <v>Day's: 4</v>
      </c>
      <c r="C89" s="209" t="s">
        <v>117</v>
      </c>
      <c r="D89" s="218">
        <f>IF(C90,SUM(F88:L88)/C85,XFD89/1000)</f>
        <v>0</v>
      </c>
      <c r="E89" s="204"/>
      <c r="F89" s="207">
        <f t="shared" ref="F89:L89" si="9">IFERROR(MATCH(F87,Time_Eva,0),0)</f>
        <v>0</v>
      </c>
      <c r="G89" s="207">
        <f t="shared" si="9"/>
        <v>0</v>
      </c>
      <c r="H89" s="207">
        <f t="shared" si="9"/>
        <v>0</v>
      </c>
      <c r="I89" s="207">
        <f t="shared" si="9"/>
        <v>0</v>
      </c>
      <c r="J89" s="207">
        <f t="shared" si="9"/>
        <v>0</v>
      </c>
      <c r="K89" s="207">
        <f t="shared" si="9"/>
        <v>0</v>
      </c>
      <c r="L89" s="207">
        <f t="shared" si="9"/>
        <v>0</v>
      </c>
      <c r="M89" s="196"/>
      <c r="XFD89">
        <f>SUM(E89:L89)</f>
        <v>0</v>
      </c>
    </row>
    <row r="90" spans="2:13 16384:16384" ht="23.25" customHeight="1" x14ac:dyDescent="0.25">
      <c r="B90" s="372"/>
      <c r="C90" s="208">
        <f>COUNTIF(F88:L88,"&gt;0")</f>
        <v>0</v>
      </c>
      <c r="D90" s="217" t="s">
        <v>124</v>
      </c>
      <c r="E90" s="210"/>
      <c r="F90" s="217"/>
      <c r="G90" s="217"/>
      <c r="H90" s="217"/>
      <c r="I90" s="217"/>
      <c r="J90" s="217"/>
      <c r="K90" s="217"/>
      <c r="L90" s="217"/>
    </row>
    <row r="91" spans="2:13 16384:16384" ht="16.5" customHeight="1" x14ac:dyDescent="0.3">
      <c r="B91" s="178"/>
      <c r="C91" s="178"/>
      <c r="D91" s="178"/>
      <c r="E91" s="232"/>
      <c r="F91" s="178"/>
      <c r="G91" s="178"/>
      <c r="H91" s="178"/>
      <c r="I91" s="178"/>
      <c r="J91" s="178"/>
      <c r="K91" s="178"/>
      <c r="L91" s="178"/>
      <c r="M91" s="196"/>
    </row>
    <row r="92" spans="2:13 16384:16384" ht="16.5" customHeight="1" x14ac:dyDescent="0.25">
      <c r="B92" s="366" t="s">
        <v>106</v>
      </c>
      <c r="C92" s="367">
        <f>SUM(F92:L92)</f>
        <v>40</v>
      </c>
      <c r="D92" s="368" t="s">
        <v>105</v>
      </c>
      <c r="E92" s="232"/>
      <c r="F92" s="190">
        <f>IFERROR(INDEX(Hr,MATCH($B94,Sun,0),0),0)</f>
        <v>0</v>
      </c>
      <c r="G92" s="190">
        <f>IFERROR(INDEX(Hr,MATCH($B94,Mon,0),0),0)</f>
        <v>8</v>
      </c>
      <c r="H92" s="190">
        <f>IFERROR(INDEX(Hr,MATCH($B94,Tue,0),0),0)</f>
        <v>8</v>
      </c>
      <c r="I92" s="190">
        <f>IFERROR(INDEX(Hr,MATCH($B94,Wed,0),0),0)</f>
        <v>8</v>
      </c>
      <c r="J92" s="190">
        <f>IFERROR(INDEX(Hr,MATCH($B94,Thr,0),0),0)</f>
        <v>8</v>
      </c>
      <c r="K92" s="190">
        <f>IFERROR(INDEX(Hr,MATCH($B94,Fri,0),0),0)</f>
        <v>8</v>
      </c>
      <c r="L92" s="190">
        <f>IFERROR(INDEX(Hr,MATCH($B94,Sat,0),0),0)</f>
        <v>0</v>
      </c>
      <c r="M92" s="196"/>
    </row>
    <row r="93" spans="2:13 16384:16384" ht="16.5" customHeight="1" x14ac:dyDescent="0.25">
      <c r="B93" s="366"/>
      <c r="C93" s="367"/>
      <c r="D93" s="368"/>
      <c r="E93" s="232"/>
      <c r="F93" s="203" t="str">
        <f>IFERROR(INDEX(Tour,MATCH($B94,Sun,0),0),"Off")</f>
        <v>Off</v>
      </c>
      <c r="G93" s="203" t="str">
        <f>IFERROR(INDEX(Tour,MATCH($B94,Mon,0),0),"Off")</f>
        <v>13:30--22:00</v>
      </c>
      <c r="H93" s="203" t="str">
        <f>IFERROR(INDEX(Tour,MATCH($B94,Tue,0),0),"Off")</f>
        <v>13:30--22:00</v>
      </c>
      <c r="I93" s="203" t="str">
        <f>IFERROR(INDEX(Tour,MATCH($B94,Wed,0),0),"Off")</f>
        <v>13:30--22:00</v>
      </c>
      <c r="J93" s="203" t="str">
        <f>IFERROR(INDEX(Tour,MATCH($B94,Thr,0),0),"Off")</f>
        <v>13:30--22:00</v>
      </c>
      <c r="K93" s="203" t="str">
        <f>IFERROR(INDEX(Tour,MATCH($B94,Fri,0),0),"Off")</f>
        <v>13:30--22:00</v>
      </c>
      <c r="L93" s="203" t="str">
        <f>IFERROR(INDEX(Tour,MATCH($B94,Sat,0),0),"Off")</f>
        <v>Off</v>
      </c>
      <c r="M93" s="196"/>
    </row>
    <row r="94" spans="2:13 16384:16384" ht="16.5" customHeight="1" x14ac:dyDescent="0.25">
      <c r="B94" s="369" t="s">
        <v>71</v>
      </c>
      <c r="C94" s="369"/>
      <c r="D94" s="370">
        <f>SUM(F95:L95)</f>
        <v>0</v>
      </c>
      <c r="E94" s="232"/>
      <c r="F94" s="202"/>
      <c r="G94" s="202"/>
      <c r="H94" s="202"/>
      <c r="I94" s="202"/>
      <c r="J94" s="202"/>
      <c r="K94" s="202"/>
      <c r="L94" s="202"/>
      <c r="M94" s="196"/>
    </row>
    <row r="95" spans="2:13 16384:16384" ht="16.5" customHeight="1" x14ac:dyDescent="0.25">
      <c r="B95" s="369"/>
      <c r="C95" s="369"/>
      <c r="D95" s="370"/>
      <c r="E95" s="232"/>
      <c r="F95" s="177"/>
      <c r="G95" s="177"/>
      <c r="H95" s="177"/>
      <c r="I95" s="177"/>
      <c r="J95" s="177"/>
      <c r="K95" s="177"/>
      <c r="L95" s="177"/>
      <c r="M95" s="196"/>
    </row>
    <row r="96" spans="2:13 16384:16384" s="205" customFormat="1" ht="21.75" customHeight="1" x14ac:dyDescent="0.25">
      <c r="B96" s="371" t="str">
        <f>"Day's: "&amp;COUNTIF(F92:L92,"&gt;0")</f>
        <v>Day's: 5</v>
      </c>
      <c r="C96" s="209" t="s">
        <v>117</v>
      </c>
      <c r="D96" s="218">
        <f>IF(C97,SUM(F95:L95)/C92,XFD96/1000)</f>
        <v>0</v>
      </c>
      <c r="E96" s="204"/>
      <c r="F96" s="207">
        <f t="shared" ref="F96:L96" si="10">IFERROR(MATCH(F94,Time_Eva,0),0)</f>
        <v>0</v>
      </c>
      <c r="G96" s="207">
        <f t="shared" si="10"/>
        <v>0</v>
      </c>
      <c r="H96" s="207">
        <f t="shared" si="10"/>
        <v>0</v>
      </c>
      <c r="I96" s="207">
        <f t="shared" si="10"/>
        <v>0</v>
      </c>
      <c r="J96" s="207">
        <f t="shared" si="10"/>
        <v>0</v>
      </c>
      <c r="K96" s="207">
        <f t="shared" si="10"/>
        <v>0</v>
      </c>
      <c r="L96" s="207">
        <f t="shared" si="10"/>
        <v>0</v>
      </c>
      <c r="M96" s="196"/>
      <c r="XFD96">
        <f>SUM(E96:L96)</f>
        <v>0</v>
      </c>
    </row>
    <row r="97" spans="2:13 16384:16384" ht="23.25" customHeight="1" x14ac:dyDescent="0.25">
      <c r="B97" s="372"/>
      <c r="C97" s="208">
        <f>COUNTIF(F95:L95,"&gt;0")</f>
        <v>0</v>
      </c>
      <c r="D97" s="217" t="s">
        <v>124</v>
      </c>
      <c r="E97" s="210"/>
      <c r="F97" s="217"/>
      <c r="G97" s="217"/>
      <c r="H97" s="217"/>
      <c r="I97" s="217"/>
      <c r="J97" s="217"/>
      <c r="K97" s="217"/>
      <c r="L97" s="217"/>
    </row>
    <row r="98" spans="2:13 16384:16384" ht="16.5" customHeight="1" x14ac:dyDescent="0.3">
      <c r="B98" s="178"/>
      <c r="C98" s="178"/>
      <c r="D98" s="178"/>
      <c r="E98" s="232"/>
      <c r="F98" s="178"/>
      <c r="G98" s="178"/>
      <c r="H98" s="178"/>
      <c r="I98" s="178"/>
      <c r="J98" s="178"/>
      <c r="K98" s="178"/>
      <c r="L98" s="178"/>
      <c r="M98" s="196"/>
    </row>
    <row r="99" spans="2:13 16384:16384" ht="16.5" customHeight="1" x14ac:dyDescent="0.25">
      <c r="B99" s="366" t="s">
        <v>106</v>
      </c>
      <c r="C99" s="367">
        <f>SUM(F99:L99)</f>
        <v>40</v>
      </c>
      <c r="D99" s="368" t="s">
        <v>105</v>
      </c>
      <c r="E99" s="232"/>
      <c r="F99" s="190">
        <f>IFERROR(INDEX(Hr,MATCH($B101,Sun,0),0),0)</f>
        <v>0</v>
      </c>
      <c r="G99" s="190">
        <f>IFERROR(INDEX(Hr,MATCH($B101,Mon,0),0),0)</f>
        <v>8</v>
      </c>
      <c r="H99" s="190">
        <f>IFERROR(INDEX(Hr,MATCH($B101,Tue,0),0),0)</f>
        <v>8</v>
      </c>
      <c r="I99" s="190">
        <f>IFERROR(INDEX(Hr,MATCH($B101,Wed,0),0),0)</f>
        <v>8</v>
      </c>
      <c r="J99" s="190">
        <f>IFERROR(INDEX(Hr,MATCH($B101,Thr,0),0),0)</f>
        <v>8</v>
      </c>
      <c r="K99" s="190">
        <f>IFERROR(INDEX(Hr,MATCH($B101,Fri,0),0),0)</f>
        <v>0</v>
      </c>
      <c r="L99" s="190">
        <f>IFERROR(INDEX(Hr,MATCH($B101,Sat,0),0),0)</f>
        <v>8</v>
      </c>
      <c r="M99" s="196"/>
    </row>
    <row r="100" spans="2:13 16384:16384" ht="16.5" customHeight="1" x14ac:dyDescent="0.25">
      <c r="B100" s="366"/>
      <c r="C100" s="367"/>
      <c r="D100" s="368"/>
      <c r="E100" s="232"/>
      <c r="F100" s="203" t="str">
        <f>IFERROR(INDEX(Tour,MATCH($B101,Sun,0),0),"Off")</f>
        <v>Off</v>
      </c>
      <c r="G100" s="203" t="str">
        <f>IFERROR(INDEX(Tour,MATCH($B101,Mon,0),0),"Off")</f>
        <v>06:00--14:30</v>
      </c>
      <c r="H100" s="203" t="str">
        <f>IFERROR(INDEX(Tour,MATCH($B101,Tue,0),0),"Off")</f>
        <v>06:00--14:30</v>
      </c>
      <c r="I100" s="203" t="str">
        <f>IFERROR(INDEX(Tour,MATCH($B101,Wed,0),0),"Off")</f>
        <v>06:00--14:30</v>
      </c>
      <c r="J100" s="203" t="str">
        <f>IFERROR(INDEX(Tour,MATCH($B101,Thr,0),0),"Off")</f>
        <v>06:00--14:30</v>
      </c>
      <c r="K100" s="203" t="str">
        <f>IFERROR(INDEX(Tour,MATCH($B101,Fri,0),0),"Off")</f>
        <v>Off</v>
      </c>
      <c r="L100" s="203" t="str">
        <f>IFERROR(INDEX(Tour,MATCH($B101,Sat,0),0),"Off")</f>
        <v>06:00--14:30</v>
      </c>
      <c r="M100" s="196"/>
    </row>
    <row r="101" spans="2:13 16384:16384" ht="16.5" customHeight="1" x14ac:dyDescent="0.25">
      <c r="B101" s="369" t="s">
        <v>88</v>
      </c>
      <c r="C101" s="369"/>
      <c r="D101" s="370">
        <f>SUM(F102:L102)</f>
        <v>0</v>
      </c>
      <c r="E101" s="232"/>
      <c r="F101" s="202"/>
      <c r="G101" s="202"/>
      <c r="H101" s="202"/>
      <c r="I101" s="202"/>
      <c r="J101" s="202"/>
      <c r="K101" s="202"/>
      <c r="L101" s="202"/>
      <c r="M101" s="196"/>
    </row>
    <row r="102" spans="2:13 16384:16384" ht="16.5" customHeight="1" x14ac:dyDescent="0.25">
      <c r="B102" s="369"/>
      <c r="C102" s="369"/>
      <c r="D102" s="370"/>
      <c r="E102" s="232"/>
      <c r="F102" s="177"/>
      <c r="G102" s="177"/>
      <c r="H102" s="177"/>
      <c r="I102" s="177"/>
      <c r="J102" s="177"/>
      <c r="K102" s="177"/>
      <c r="L102" s="177"/>
      <c r="M102" s="196"/>
    </row>
    <row r="103" spans="2:13 16384:16384" s="205" customFormat="1" ht="21.75" customHeight="1" x14ac:dyDescent="0.25">
      <c r="B103" s="371" t="str">
        <f>"Day's: "&amp;COUNTIF(F99:L99,"&gt;0")</f>
        <v>Day's: 5</v>
      </c>
      <c r="C103" s="209" t="s">
        <v>117</v>
      </c>
      <c r="D103" s="218">
        <f>IF(C104,SUM(F102:L102)/C99,XFD103/1000)</f>
        <v>0</v>
      </c>
      <c r="E103" s="204"/>
      <c r="F103" s="207">
        <f t="shared" ref="F103:L103" si="11">IFERROR(MATCH(F101,Time_Eva,0),0)</f>
        <v>0</v>
      </c>
      <c r="G103" s="207">
        <f t="shared" si="11"/>
        <v>0</v>
      </c>
      <c r="H103" s="207">
        <f t="shared" si="11"/>
        <v>0</v>
      </c>
      <c r="I103" s="207">
        <f t="shared" si="11"/>
        <v>0</v>
      </c>
      <c r="J103" s="207">
        <f t="shared" si="11"/>
        <v>0</v>
      </c>
      <c r="K103" s="207">
        <f t="shared" si="11"/>
        <v>0</v>
      </c>
      <c r="L103" s="207">
        <f t="shared" si="11"/>
        <v>0</v>
      </c>
      <c r="M103" s="196"/>
      <c r="XFD103">
        <f>SUM(E103:L103)</f>
        <v>0</v>
      </c>
    </row>
    <row r="104" spans="2:13 16384:16384" ht="23.25" customHeight="1" x14ac:dyDescent="0.25">
      <c r="B104" s="372"/>
      <c r="C104" s="208">
        <f>COUNTIF(F102:L102,"&gt;0")</f>
        <v>0</v>
      </c>
      <c r="D104" s="217" t="s">
        <v>124</v>
      </c>
      <c r="E104" s="210"/>
      <c r="F104" s="217"/>
      <c r="G104" s="217"/>
      <c r="H104" s="217"/>
      <c r="I104" s="217"/>
      <c r="J104" s="217"/>
      <c r="K104" s="217"/>
      <c r="L104" s="217"/>
    </row>
    <row r="105" spans="2:13 16384:16384" ht="16.5" customHeight="1" x14ac:dyDescent="0.3">
      <c r="B105" s="178"/>
      <c r="C105" s="178"/>
      <c r="D105" s="178"/>
      <c r="E105" s="232"/>
      <c r="F105" s="178"/>
      <c r="G105" s="178"/>
      <c r="H105" s="178"/>
      <c r="I105" s="178"/>
      <c r="J105" s="178"/>
      <c r="K105" s="178"/>
      <c r="L105" s="178"/>
      <c r="M105" s="196"/>
    </row>
    <row r="106" spans="2:13 16384:16384" ht="16.5" customHeight="1" x14ac:dyDescent="0.25">
      <c r="B106" s="366" t="s">
        <v>106</v>
      </c>
      <c r="C106" s="367">
        <f>SUM(F106:L106)</f>
        <v>38</v>
      </c>
      <c r="D106" s="368" t="s">
        <v>105</v>
      </c>
      <c r="E106" s="232"/>
      <c r="F106" s="190">
        <f>IFERROR(INDEX(Hr,MATCH($B108,Sun,0),0),0)</f>
        <v>6</v>
      </c>
      <c r="G106" s="190">
        <f>IFERROR(INDEX(Hr,MATCH($B108,Mon,0),0),0)</f>
        <v>8</v>
      </c>
      <c r="H106" s="190">
        <f>IFERROR(INDEX(Hr,MATCH($B108,Tue,0),0),0)</f>
        <v>0</v>
      </c>
      <c r="I106" s="190">
        <f>IFERROR(INDEX(Hr,MATCH($B108,Wed,0),0),0)</f>
        <v>8</v>
      </c>
      <c r="J106" s="190">
        <f>IFERROR(INDEX(Hr,MATCH($B108,Thr,0),0),0)</f>
        <v>0</v>
      </c>
      <c r="K106" s="190">
        <f>IFERROR(INDEX(Hr,MATCH($B108,Fri,0),0),0)</f>
        <v>8</v>
      </c>
      <c r="L106" s="190">
        <f>IFERROR(INDEX(Hr,MATCH($B108,Sat,0),0),0)</f>
        <v>8</v>
      </c>
      <c r="M106" s="196"/>
    </row>
    <row r="107" spans="2:13 16384:16384" ht="16.5" customHeight="1" x14ac:dyDescent="0.25">
      <c r="B107" s="366"/>
      <c r="C107" s="367"/>
      <c r="D107" s="368"/>
      <c r="E107" s="232"/>
      <c r="F107" s="203" t="str">
        <f>IFERROR(INDEX(Tour,MATCH($B108,Sun,0),0),"Off")</f>
        <v>14:00-20:00</v>
      </c>
      <c r="G107" s="203" t="str">
        <f>IFERROR(INDEX(Tour,MATCH($B108,Mon,0),0),"Off")</f>
        <v>06:00--14:30</v>
      </c>
      <c r="H107" s="203" t="str">
        <f>IFERROR(INDEX(Tour,MATCH($B108,Tue,0),0),"Off")</f>
        <v>Off</v>
      </c>
      <c r="I107" s="203" t="str">
        <f>IFERROR(INDEX(Tour,MATCH($B108,Wed,0),0),"Off")</f>
        <v>13:30--22:00</v>
      </c>
      <c r="J107" s="203" t="str">
        <f>IFERROR(INDEX(Tour,MATCH($B108,Thr,0),0),"Off")</f>
        <v>Off</v>
      </c>
      <c r="K107" s="203" t="str">
        <f>IFERROR(INDEX(Tour,MATCH($B108,Fri,0),0),"Off")</f>
        <v>13:30--22:00</v>
      </c>
      <c r="L107" s="203" t="str">
        <f>IFERROR(INDEX(Tour,MATCH($B108,Sat,0),0),"Off")</f>
        <v>13:30--22:00</v>
      </c>
      <c r="M107" s="196"/>
    </row>
    <row r="108" spans="2:13 16384:16384" ht="16.5" customHeight="1" x14ac:dyDescent="0.25">
      <c r="B108" s="369" t="s">
        <v>87</v>
      </c>
      <c r="C108" s="369"/>
      <c r="D108" s="370">
        <f>SUM(F109:L109)</f>
        <v>0</v>
      </c>
      <c r="E108" s="232"/>
      <c r="F108" s="202"/>
      <c r="G108" s="202"/>
      <c r="H108" s="202"/>
      <c r="I108" s="202"/>
      <c r="J108" s="202"/>
      <c r="K108" s="202"/>
      <c r="L108" s="202"/>
      <c r="M108" s="196"/>
    </row>
    <row r="109" spans="2:13 16384:16384" ht="16.5" customHeight="1" x14ac:dyDescent="0.25">
      <c r="B109" s="369"/>
      <c r="C109" s="369"/>
      <c r="D109" s="370"/>
      <c r="E109" s="232"/>
      <c r="F109" s="177"/>
      <c r="G109" s="177"/>
      <c r="H109" s="177"/>
      <c r="I109" s="177"/>
      <c r="J109" s="177"/>
      <c r="K109" s="177"/>
      <c r="L109" s="177"/>
      <c r="M109" s="196"/>
    </row>
    <row r="110" spans="2:13 16384:16384" s="205" customFormat="1" ht="21.75" customHeight="1" x14ac:dyDescent="0.25">
      <c r="B110" s="371" t="str">
        <f>"Day's: "&amp;COUNTIF(F106:L106,"&gt;0")</f>
        <v>Day's: 5</v>
      </c>
      <c r="C110" s="209" t="s">
        <v>117</v>
      </c>
      <c r="D110" s="218">
        <f>IF(C111,SUM(F109:L109)/C106,XFD110/1000)</f>
        <v>0</v>
      </c>
      <c r="E110" s="204"/>
      <c r="F110" s="207">
        <f t="shared" ref="F110:L110" si="12">IFERROR(MATCH(F108,Time_Eva,0),0)</f>
        <v>0</v>
      </c>
      <c r="G110" s="207">
        <f t="shared" si="12"/>
        <v>0</v>
      </c>
      <c r="H110" s="207">
        <f t="shared" si="12"/>
        <v>0</v>
      </c>
      <c r="I110" s="207">
        <f t="shared" si="12"/>
        <v>0</v>
      </c>
      <c r="J110" s="207">
        <f t="shared" si="12"/>
        <v>0</v>
      </c>
      <c r="K110" s="207">
        <f t="shared" si="12"/>
        <v>0</v>
      </c>
      <c r="L110" s="207">
        <f t="shared" si="12"/>
        <v>0</v>
      </c>
      <c r="M110" s="196"/>
      <c r="XFD110">
        <f>SUM(E110:L110)</f>
        <v>0</v>
      </c>
    </row>
    <row r="111" spans="2:13 16384:16384" ht="23.25" customHeight="1" x14ac:dyDescent="0.25">
      <c r="B111" s="372"/>
      <c r="C111" s="208">
        <f>COUNTIF(F109:L109,"&gt;0")</f>
        <v>0</v>
      </c>
      <c r="D111" s="217" t="s">
        <v>124</v>
      </c>
      <c r="E111" s="210"/>
      <c r="F111" s="217"/>
      <c r="G111" s="217"/>
      <c r="H111" s="217"/>
      <c r="I111" s="217"/>
      <c r="J111" s="217"/>
      <c r="K111" s="217"/>
      <c r="L111" s="217"/>
    </row>
    <row r="112" spans="2:13 16384:16384" ht="16.5" customHeight="1" x14ac:dyDescent="0.3">
      <c r="B112" s="178"/>
      <c r="C112" s="178"/>
      <c r="D112" s="178"/>
      <c r="E112" s="232"/>
      <c r="F112" s="178"/>
      <c r="G112" s="178"/>
      <c r="H112" s="178"/>
      <c r="I112" s="178"/>
      <c r="J112" s="178"/>
      <c r="K112" s="178"/>
      <c r="L112" s="178"/>
      <c r="M112" s="196"/>
    </row>
    <row r="113" spans="2:13 16384:16384" ht="16.5" customHeight="1" x14ac:dyDescent="0.25">
      <c r="B113" s="366" t="s">
        <v>106</v>
      </c>
      <c r="C113" s="367">
        <f>SUM(F113:L113)</f>
        <v>11</v>
      </c>
      <c r="D113" s="368" t="s">
        <v>105</v>
      </c>
      <c r="E113" s="232"/>
      <c r="F113" s="190">
        <f>IFERROR(INDEX(Hr,MATCH($B115,Sun,0),0),0)</f>
        <v>0</v>
      </c>
      <c r="G113" s="190">
        <f>IFERROR(INDEX(Hr,MATCH($B115,Mon,0),0),0)</f>
        <v>0</v>
      </c>
      <c r="H113" s="190">
        <f>IFERROR(INDEX(Hr,MATCH($B115,Tue,0),0),0)</f>
        <v>0</v>
      </c>
      <c r="I113" s="190">
        <f>IFERROR(INDEX(Hr,MATCH($B115,Wed,0),0),0)</f>
        <v>11</v>
      </c>
      <c r="J113" s="190">
        <f>IFERROR(INDEX(Hr,MATCH($B115,Thr,0),0),0)</f>
        <v>0</v>
      </c>
      <c r="K113" s="190">
        <f>IFERROR(INDEX(Hr,MATCH($B115,Fri,0),0),0)</f>
        <v>0</v>
      </c>
      <c r="L113" s="190">
        <f>IFERROR(INDEX(Hr,MATCH($B115,Sat,0),0),0)</f>
        <v>0</v>
      </c>
      <c r="M113" s="196"/>
    </row>
    <row r="114" spans="2:13 16384:16384" ht="16.5" customHeight="1" x14ac:dyDescent="0.25">
      <c r="B114" s="366"/>
      <c r="C114" s="367"/>
      <c r="D114" s="368"/>
      <c r="E114" s="232"/>
      <c r="F114" s="203" t="str">
        <f>IFERROR(INDEX(Tour,MATCH($B115,Sun,0),0),"Off")</f>
        <v>Off</v>
      </c>
      <c r="G114" s="203" t="str">
        <f>IFERROR(INDEX(Tour,MATCH($B115,Mon,0),0),"Off")</f>
        <v>Off</v>
      </c>
      <c r="H114" s="203" t="str">
        <f>IFERROR(INDEX(Tour,MATCH($B115,Tue,0),0),"Off")</f>
        <v>Off</v>
      </c>
      <c r="I114" s="203" t="str">
        <f>IFERROR(INDEX(Tour,MATCH($B115,Wed,0),0),"Off")</f>
        <v>08:00--20:00</v>
      </c>
      <c r="J114" s="203" t="str">
        <f>IFERROR(INDEX(Tour,MATCH($B115,Thr,0),0),"Off")</f>
        <v>Off</v>
      </c>
      <c r="K114" s="203" t="str">
        <f>IFERROR(INDEX(Tour,MATCH($B115,Fri,0),0),"Off")</f>
        <v>Off</v>
      </c>
      <c r="L114" s="203" t="str">
        <f>IFERROR(INDEX(Tour,MATCH($B115,Sat,0),0),"Off")</f>
        <v>Off</v>
      </c>
      <c r="M114" s="196"/>
    </row>
    <row r="115" spans="2:13 16384:16384" ht="16.5" customHeight="1" x14ac:dyDescent="0.25">
      <c r="B115" s="369" t="s">
        <v>111</v>
      </c>
      <c r="C115" s="369"/>
      <c r="D115" s="370">
        <f>SUM(F116:L116)</f>
        <v>0</v>
      </c>
      <c r="E115" s="232"/>
      <c r="F115" s="202"/>
      <c r="G115" s="202"/>
      <c r="H115" s="202"/>
      <c r="I115" s="202"/>
      <c r="J115" s="202"/>
      <c r="K115" s="202"/>
      <c r="L115" s="202"/>
      <c r="M115" s="196"/>
    </row>
    <row r="116" spans="2:13 16384:16384" ht="16.5" customHeight="1" x14ac:dyDescent="0.25">
      <c r="B116" s="369"/>
      <c r="C116" s="369"/>
      <c r="D116" s="370"/>
      <c r="E116" s="232"/>
      <c r="F116" s="177"/>
      <c r="G116" s="177"/>
      <c r="H116" s="177"/>
      <c r="I116" s="177"/>
      <c r="J116" s="177"/>
      <c r="K116" s="177"/>
      <c r="L116" s="177"/>
      <c r="M116" s="196"/>
    </row>
    <row r="117" spans="2:13 16384:16384" s="205" customFormat="1" ht="21.75" customHeight="1" x14ac:dyDescent="0.25">
      <c r="B117" s="371" t="str">
        <f>"Day's: "&amp;COUNTIF(F113:L113,"&gt;0")</f>
        <v>Day's: 1</v>
      </c>
      <c r="C117" s="209" t="s">
        <v>117</v>
      </c>
      <c r="D117" s="218">
        <f>IF(C118,SUM(F116:L116)/C113,XFD117/1000)</f>
        <v>0</v>
      </c>
      <c r="E117" s="204"/>
      <c r="F117" s="207">
        <f t="shared" ref="F117:L117" si="13">IFERROR(MATCH(F115,Time_Eva,0),0)</f>
        <v>0</v>
      </c>
      <c r="G117" s="207">
        <f t="shared" si="13"/>
        <v>0</v>
      </c>
      <c r="H117" s="207">
        <f t="shared" si="13"/>
        <v>0</v>
      </c>
      <c r="I117" s="207">
        <f t="shared" si="13"/>
        <v>0</v>
      </c>
      <c r="J117" s="207">
        <f t="shared" si="13"/>
        <v>0</v>
      </c>
      <c r="K117" s="207">
        <f t="shared" si="13"/>
        <v>0</v>
      </c>
      <c r="L117" s="207">
        <f t="shared" si="13"/>
        <v>0</v>
      </c>
      <c r="M117" s="196"/>
      <c r="XFD117">
        <f>SUM(E117:L117)</f>
        <v>0</v>
      </c>
    </row>
    <row r="118" spans="2:13 16384:16384" ht="23.25" customHeight="1" x14ac:dyDescent="0.25">
      <c r="B118" s="372"/>
      <c r="C118" s="208">
        <f>COUNTIF(F116:L116,"&gt;0")</f>
        <v>0</v>
      </c>
      <c r="D118" s="217" t="s">
        <v>124</v>
      </c>
      <c r="E118" s="210"/>
      <c r="F118" s="217"/>
      <c r="G118" s="217"/>
      <c r="H118" s="217"/>
      <c r="I118" s="217"/>
      <c r="J118" s="217"/>
      <c r="K118" s="217"/>
      <c r="L118" s="217"/>
    </row>
    <row r="119" spans="2:13 16384:16384" ht="16.5" customHeight="1" x14ac:dyDescent="0.25">
      <c r="B119" s="180"/>
      <c r="C119" s="180"/>
      <c r="D119" s="180"/>
      <c r="E119" s="180"/>
      <c r="F119" s="180"/>
      <c r="G119" s="180"/>
      <c r="H119" s="180"/>
      <c r="I119" s="180"/>
      <c r="J119" s="180"/>
      <c r="K119" s="180"/>
      <c r="L119" s="180"/>
      <c r="M119" s="196"/>
    </row>
    <row r="120" spans="2:13 16384:16384" ht="16.5" customHeight="1" x14ac:dyDescent="0.25">
      <c r="B120" s="366" t="s">
        <v>106</v>
      </c>
      <c r="C120" s="367">
        <f>SUM(F120:L120)</f>
        <v>8</v>
      </c>
      <c r="D120" s="368" t="s">
        <v>105</v>
      </c>
      <c r="E120" s="232"/>
      <c r="F120" s="190">
        <f>IFERROR(INDEX(Hr,MATCH($B122,Sun,0),0),0)</f>
        <v>0</v>
      </c>
      <c r="G120" s="190">
        <f>IFERROR(INDEX(Hr,MATCH($B122,Mon,0),0),0)</f>
        <v>0</v>
      </c>
      <c r="H120" s="190">
        <f>IFERROR(INDEX(Hr,MATCH($B122,Tue,0),0),0)</f>
        <v>0</v>
      </c>
      <c r="I120" s="190">
        <f>IFERROR(INDEX(Hr,MATCH($B122,Wed,0),0),0)</f>
        <v>0</v>
      </c>
      <c r="J120" s="190">
        <f>IFERROR(INDEX(Hr,MATCH($B122,Thr,0),0),0)</f>
        <v>0</v>
      </c>
      <c r="K120" s="190">
        <f>IFERROR(INDEX(Hr,MATCH($B122,Fri,0),0),0)</f>
        <v>0</v>
      </c>
      <c r="L120" s="190">
        <f>IFERROR(INDEX(Hr,MATCH($B122,Sat,0),0),0)</f>
        <v>8</v>
      </c>
      <c r="M120" s="196"/>
    </row>
    <row r="121" spans="2:13 16384:16384" ht="16.5" customHeight="1" x14ac:dyDescent="0.25">
      <c r="B121" s="366"/>
      <c r="C121" s="367"/>
      <c r="D121" s="368"/>
      <c r="E121" s="232"/>
      <c r="F121" s="203" t="str">
        <f>IFERROR(INDEX(Tour,MATCH($B122,Sun,0),0),"Off")</f>
        <v>Off</v>
      </c>
      <c r="G121" s="203" t="str">
        <f>IFERROR(INDEX(Tour,MATCH($B122,Mon,0),0),"Off")</f>
        <v>Off</v>
      </c>
      <c r="H121" s="203" t="str">
        <f>IFERROR(INDEX(Tour,MATCH($B122,Tue,0),0),"Off")</f>
        <v>Off</v>
      </c>
      <c r="I121" s="203" t="str">
        <f>IFERROR(INDEX(Tour,MATCH($B122,Wed,0),0),"Off")</f>
        <v>Off</v>
      </c>
      <c r="J121" s="203" t="str">
        <f>IFERROR(INDEX(Tour,MATCH($B122,Thr,0),0),"Off")</f>
        <v>Off</v>
      </c>
      <c r="K121" s="203" t="str">
        <f>IFERROR(INDEX(Tour,MATCH($B122,Fri,0),0),"Off")</f>
        <v>Off</v>
      </c>
      <c r="L121" s="203" t="str">
        <f>IFERROR(INDEX(Tour,MATCH($B122,Sat,0),0),"Off")</f>
        <v>06:00--14:30</v>
      </c>
      <c r="M121" s="196"/>
    </row>
    <row r="122" spans="2:13 16384:16384" ht="16.5" customHeight="1" x14ac:dyDescent="0.25">
      <c r="B122" s="369" t="s">
        <v>112</v>
      </c>
      <c r="C122" s="369"/>
      <c r="D122" s="370">
        <f>SUM(F123:L123)</f>
        <v>0</v>
      </c>
      <c r="E122" s="232"/>
      <c r="F122" s="202"/>
      <c r="G122" s="202"/>
      <c r="H122" s="202"/>
      <c r="I122" s="202"/>
      <c r="J122" s="202"/>
      <c r="K122" s="202"/>
      <c r="L122" s="202"/>
      <c r="M122" s="196"/>
    </row>
    <row r="123" spans="2:13 16384:16384" ht="16.5" customHeight="1" x14ac:dyDescent="0.25">
      <c r="B123" s="369"/>
      <c r="C123" s="369"/>
      <c r="D123" s="370"/>
      <c r="E123" s="232"/>
      <c r="F123" s="177"/>
      <c r="G123" s="177"/>
      <c r="H123" s="177"/>
      <c r="I123" s="177"/>
      <c r="J123" s="177"/>
      <c r="K123" s="177"/>
      <c r="L123" s="177"/>
      <c r="M123" s="196"/>
    </row>
    <row r="124" spans="2:13 16384:16384" s="205" customFormat="1" ht="21.75" customHeight="1" x14ac:dyDescent="0.25">
      <c r="B124" s="371" t="str">
        <f>"Day's: "&amp;COUNTIF(F120:L120,"&gt;0")</f>
        <v>Day's: 1</v>
      </c>
      <c r="C124" s="209" t="s">
        <v>117</v>
      </c>
      <c r="D124" s="218">
        <f>IF(C125,SUM(F123:L123)/C120,XFD124/1000)</f>
        <v>0</v>
      </c>
      <c r="E124" s="204"/>
      <c r="F124" s="207">
        <f t="shared" ref="F124:L124" si="14">IFERROR(MATCH(F122,Time_Eva,0),0)</f>
        <v>0</v>
      </c>
      <c r="G124" s="207">
        <f t="shared" si="14"/>
        <v>0</v>
      </c>
      <c r="H124" s="207">
        <f t="shared" si="14"/>
        <v>0</v>
      </c>
      <c r="I124" s="207">
        <f t="shared" si="14"/>
        <v>0</v>
      </c>
      <c r="J124" s="207">
        <f t="shared" si="14"/>
        <v>0</v>
      </c>
      <c r="K124" s="207">
        <f t="shared" si="14"/>
        <v>0</v>
      </c>
      <c r="L124" s="207">
        <f t="shared" si="14"/>
        <v>0</v>
      </c>
      <c r="M124" s="196"/>
      <c r="XFD124">
        <f>SUM(E124:L124)</f>
        <v>0</v>
      </c>
    </row>
    <row r="125" spans="2:13 16384:16384" ht="23.25" customHeight="1" x14ac:dyDescent="0.25">
      <c r="B125" s="372"/>
      <c r="C125" s="208">
        <f>COUNTIF(F123:L123,"&gt;0")</f>
        <v>0</v>
      </c>
      <c r="D125" s="217" t="s">
        <v>124</v>
      </c>
      <c r="E125" s="210"/>
      <c r="F125" s="217"/>
      <c r="G125" s="217"/>
      <c r="H125" s="217"/>
      <c r="I125" s="217"/>
      <c r="J125" s="217"/>
      <c r="K125" s="217"/>
      <c r="L125" s="217"/>
    </row>
    <row r="126" spans="2:13 16384:16384" ht="16.5" customHeight="1" x14ac:dyDescent="0.25">
      <c r="B126" s="180"/>
      <c r="C126" s="180"/>
      <c r="D126" s="180"/>
      <c r="E126" s="180"/>
      <c r="F126" s="180"/>
      <c r="G126" s="180"/>
      <c r="H126" s="180"/>
      <c r="I126" s="180"/>
      <c r="J126" s="180"/>
      <c r="K126" s="180"/>
      <c r="L126" s="180"/>
      <c r="M126" s="196"/>
    </row>
    <row r="127" spans="2:13 16384:16384" ht="16.5" customHeight="1" x14ac:dyDescent="0.25">
      <c r="B127" s="366" t="s">
        <v>106</v>
      </c>
      <c r="C127" s="367">
        <f>SUM(F127:L127)</f>
        <v>44</v>
      </c>
      <c r="D127" s="368" t="s">
        <v>105</v>
      </c>
      <c r="E127" s="232"/>
      <c r="F127" s="190">
        <f>IFERROR(INDEX(Hr,MATCH($B129,Sun,0),0),0)</f>
        <v>0</v>
      </c>
      <c r="G127" s="190">
        <f>IFERROR(INDEX(Hr,MATCH($B129,Mon,0),0),0)</f>
        <v>0</v>
      </c>
      <c r="H127" s="190">
        <f>IFERROR(INDEX(Hr,MATCH($B129,Tue,0),0),0)</f>
        <v>11</v>
      </c>
      <c r="I127" s="190">
        <f>IFERROR(INDEX(Hr,MATCH($B129,Wed,0),0),0)</f>
        <v>0</v>
      </c>
      <c r="J127" s="190">
        <f>IFERROR(INDEX(Hr,MATCH($B129,Thr,0),0),0)</f>
        <v>11</v>
      </c>
      <c r="K127" s="190">
        <f>IFERROR(INDEX(Hr,MATCH($B129,Fri,0),0),0)</f>
        <v>11</v>
      </c>
      <c r="L127" s="190">
        <f>IFERROR(INDEX(Hr,MATCH($B129,Sat,0),0),0)</f>
        <v>11</v>
      </c>
      <c r="M127" s="196"/>
    </row>
    <row r="128" spans="2:13 16384:16384" ht="16.5" customHeight="1" x14ac:dyDescent="0.25">
      <c r="B128" s="366"/>
      <c r="C128" s="367"/>
      <c r="D128" s="368"/>
      <c r="E128" s="232"/>
      <c r="F128" s="203" t="str">
        <f>IFERROR(INDEX(Tour,MATCH($B129,Sun,0),0),"Off")</f>
        <v>Off</v>
      </c>
      <c r="G128" s="203" t="str">
        <f>IFERROR(INDEX(Tour,MATCH($B129,Mon,0),0),"Off")</f>
        <v>Off</v>
      </c>
      <c r="H128" s="203" t="str">
        <f>IFERROR(INDEX(Tour,MATCH($B129,Tue,0),0),"Off")</f>
        <v>08:00--20:00</v>
      </c>
      <c r="I128" s="203" t="str">
        <f>IFERROR(INDEX(Tour,MATCH($B129,Wed,0),0),"Off")</f>
        <v>Off</v>
      </c>
      <c r="J128" s="203" t="str">
        <f>IFERROR(INDEX(Tour,MATCH($B129,Thr,0),0),"Off")</f>
        <v>08:00--20:00</v>
      </c>
      <c r="K128" s="203" t="str">
        <f>IFERROR(INDEX(Tour,MATCH($B129,Fri,0),0),"Off")</f>
        <v>08:00--20:00</v>
      </c>
      <c r="L128" s="203" t="str">
        <f>IFERROR(INDEX(Tour,MATCH($B129,Sat,0),0),"Off")</f>
        <v>08:00--20:00</v>
      </c>
      <c r="M128" s="196"/>
    </row>
    <row r="129" spans="2:13 16384:16384" ht="16.5" customHeight="1" x14ac:dyDescent="0.25">
      <c r="B129" s="369" t="s">
        <v>96</v>
      </c>
      <c r="C129" s="369"/>
      <c r="D129" s="370">
        <f>SUM(F130:L130)</f>
        <v>0</v>
      </c>
      <c r="E129" s="232"/>
      <c r="F129" s="202"/>
      <c r="G129" s="202"/>
      <c r="H129" s="202"/>
      <c r="I129" s="202"/>
      <c r="J129" s="202"/>
      <c r="K129" s="202"/>
      <c r="L129" s="202"/>
      <c r="M129" s="196"/>
    </row>
    <row r="130" spans="2:13 16384:16384" ht="16.5" customHeight="1" x14ac:dyDescent="0.25">
      <c r="B130" s="369"/>
      <c r="C130" s="369"/>
      <c r="D130" s="370"/>
      <c r="E130" s="232"/>
      <c r="F130" s="177"/>
      <c r="G130" s="177"/>
      <c r="H130" s="177"/>
      <c r="I130" s="177"/>
      <c r="J130" s="177"/>
      <c r="K130" s="177"/>
      <c r="L130" s="177"/>
      <c r="M130" s="196"/>
    </row>
    <row r="131" spans="2:13 16384:16384" s="205" customFormat="1" ht="21.75" customHeight="1" x14ac:dyDescent="0.25">
      <c r="B131" s="371" t="str">
        <f>"Day's: "&amp;COUNTIF(F127:L127,"&gt;0")</f>
        <v>Day's: 4</v>
      </c>
      <c r="C131" s="209" t="s">
        <v>117</v>
      </c>
      <c r="D131" s="218">
        <f>IF(C132,SUM(F130:L130)/C127,XFD131/1000)</f>
        <v>0</v>
      </c>
      <c r="E131" s="204"/>
      <c r="F131" s="207">
        <f t="shared" ref="F131:L131" si="15">IFERROR(MATCH(F129,Time_Eva,0),0)</f>
        <v>0</v>
      </c>
      <c r="G131" s="207">
        <f t="shared" si="15"/>
        <v>0</v>
      </c>
      <c r="H131" s="207">
        <f t="shared" si="15"/>
        <v>0</v>
      </c>
      <c r="I131" s="207">
        <f t="shared" si="15"/>
        <v>0</v>
      </c>
      <c r="J131" s="207">
        <f t="shared" si="15"/>
        <v>0</v>
      </c>
      <c r="K131" s="207">
        <f t="shared" si="15"/>
        <v>0</v>
      </c>
      <c r="L131" s="207">
        <f t="shared" si="15"/>
        <v>0</v>
      </c>
      <c r="M131" s="196"/>
      <c r="XFD131">
        <f>SUM(E131:L131)</f>
        <v>0</v>
      </c>
    </row>
    <row r="132" spans="2:13 16384:16384" ht="23.25" customHeight="1" x14ac:dyDescent="0.25">
      <c r="B132" s="372"/>
      <c r="C132" s="208">
        <f>COUNTIF(F130:L130,"&gt;0")</f>
        <v>0</v>
      </c>
      <c r="D132" s="217" t="s">
        <v>124</v>
      </c>
      <c r="E132" s="210"/>
      <c r="F132" s="217"/>
      <c r="G132" s="217"/>
      <c r="H132" s="217"/>
      <c r="I132" s="217"/>
      <c r="J132" s="217"/>
      <c r="K132" s="217"/>
      <c r="L132" s="217"/>
    </row>
    <row r="133" spans="2:13 16384:16384" ht="16.5" customHeight="1" x14ac:dyDescent="0.25">
      <c r="B133" s="180"/>
      <c r="C133" s="180"/>
      <c r="D133" s="180"/>
      <c r="E133" s="180"/>
      <c r="F133" s="180"/>
      <c r="G133" s="180"/>
      <c r="H133" s="180"/>
      <c r="I133" s="180"/>
      <c r="J133" s="180"/>
      <c r="K133" s="180"/>
      <c r="L133" s="180"/>
      <c r="M133" s="196"/>
    </row>
    <row r="134" spans="2:13 16384:16384" ht="16.5" customHeight="1" x14ac:dyDescent="0.25">
      <c r="B134" s="366" t="s">
        <v>106</v>
      </c>
      <c r="C134" s="367">
        <f>SUM(F134:L134)</f>
        <v>0</v>
      </c>
      <c r="D134" s="368" t="s">
        <v>105</v>
      </c>
      <c r="E134" s="232"/>
      <c r="F134" s="190">
        <f>IFERROR(INDEX(Hr,MATCH($B136,Sun,0),0),0)</f>
        <v>0</v>
      </c>
      <c r="G134" s="190">
        <f>IFERROR(INDEX(Hr,MATCH($B136,Mon,0),0),0)</f>
        <v>0</v>
      </c>
      <c r="H134" s="190">
        <f>IFERROR(INDEX(Hr,MATCH($B136,Tue,0),0),0)</f>
        <v>0</v>
      </c>
      <c r="I134" s="190">
        <f>IFERROR(INDEX(Hr,MATCH($B136,Wed,0),0),0)</f>
        <v>0</v>
      </c>
      <c r="J134" s="190">
        <f>IFERROR(INDEX(Hr,MATCH($B136,Thr,0),0),0)</f>
        <v>0</v>
      </c>
      <c r="K134" s="190">
        <f>IFERROR(INDEX(Hr,MATCH($B136,Fri,0),0),0)</f>
        <v>0</v>
      </c>
      <c r="L134" s="190">
        <f>IFERROR(INDEX(Hr,MATCH($B136,Sat,0),0),0)</f>
        <v>0</v>
      </c>
      <c r="M134" s="196"/>
    </row>
    <row r="135" spans="2:13 16384:16384" ht="16.5" customHeight="1" x14ac:dyDescent="0.25">
      <c r="B135" s="366"/>
      <c r="C135" s="367"/>
      <c r="D135" s="368"/>
      <c r="E135" s="232"/>
      <c r="F135" s="203" t="str">
        <f>IFERROR(INDEX(Tour,MATCH($B136,Sun,0),0),"Off")</f>
        <v>Off</v>
      </c>
      <c r="G135" s="203" t="str">
        <f>IFERROR(INDEX(Tour,MATCH($B136,Mon,0),0),"Off")</f>
        <v>Off</v>
      </c>
      <c r="H135" s="203" t="str">
        <f>IFERROR(INDEX(Tour,MATCH($B136,Tue,0),0),"Off")</f>
        <v>Off</v>
      </c>
      <c r="I135" s="203" t="str">
        <f>IFERROR(INDEX(Tour,MATCH($B136,Wed,0),0),"Off")</f>
        <v>Off</v>
      </c>
      <c r="J135" s="203" t="str">
        <f>IFERROR(INDEX(Tour,MATCH($B136,Thr,0),0),"Off")</f>
        <v>Off</v>
      </c>
      <c r="K135" s="203" t="str">
        <f>IFERROR(INDEX(Tour,MATCH($B136,Fri,0),0),"Off")</f>
        <v>Off</v>
      </c>
      <c r="L135" s="203" t="str">
        <f>IFERROR(INDEX(Tour,MATCH($B136,Sat,0),0),"Off")</f>
        <v>Off</v>
      </c>
      <c r="M135" s="196"/>
    </row>
    <row r="136" spans="2:13 16384:16384" ht="16.5" customHeight="1" x14ac:dyDescent="0.25">
      <c r="B136" s="369"/>
      <c r="C136" s="369"/>
      <c r="D136" s="370">
        <f>SUM(F137:L137)</f>
        <v>0</v>
      </c>
      <c r="E136" s="232"/>
      <c r="F136" s="202"/>
      <c r="G136" s="202"/>
      <c r="H136" s="202"/>
      <c r="I136" s="202"/>
      <c r="J136" s="202"/>
      <c r="K136" s="202"/>
      <c r="L136" s="202"/>
      <c r="M136" s="196"/>
    </row>
    <row r="137" spans="2:13 16384:16384" ht="16.5" customHeight="1" x14ac:dyDescent="0.25">
      <c r="B137" s="369"/>
      <c r="C137" s="369"/>
      <c r="D137" s="370"/>
      <c r="E137" s="232"/>
      <c r="F137" s="177"/>
      <c r="G137" s="177"/>
      <c r="H137" s="177"/>
      <c r="I137" s="177"/>
      <c r="J137" s="177"/>
      <c r="K137" s="177"/>
      <c r="L137" s="177"/>
      <c r="M137" s="196"/>
    </row>
    <row r="138" spans="2:13 16384:16384" s="205" customFormat="1" ht="21.75" customHeight="1" x14ac:dyDescent="0.25">
      <c r="B138" s="371" t="str">
        <f>"Day's: "&amp;COUNTIF(F134:L134,"&gt;0")</f>
        <v>Day's: 0</v>
      </c>
      <c r="C138" s="209" t="s">
        <v>117</v>
      </c>
      <c r="D138" s="218">
        <f>IF(C139,SUM(F137:L137)/C134,XFD138/1000)</f>
        <v>0</v>
      </c>
      <c r="E138" s="204"/>
      <c r="F138" s="207">
        <f t="shared" ref="F138:L138" si="16">IFERROR(MATCH(F136,Time_Eva,0),0)</f>
        <v>0</v>
      </c>
      <c r="G138" s="207">
        <f t="shared" si="16"/>
        <v>0</v>
      </c>
      <c r="H138" s="207">
        <f t="shared" si="16"/>
        <v>0</v>
      </c>
      <c r="I138" s="207">
        <f t="shared" si="16"/>
        <v>0</v>
      </c>
      <c r="J138" s="207">
        <f t="shared" si="16"/>
        <v>0</v>
      </c>
      <c r="K138" s="207">
        <f t="shared" si="16"/>
        <v>0</v>
      </c>
      <c r="L138" s="207">
        <f t="shared" si="16"/>
        <v>0</v>
      </c>
      <c r="M138" s="196"/>
      <c r="XFD138">
        <f>SUM(E138:L138)</f>
        <v>0</v>
      </c>
    </row>
    <row r="139" spans="2:13 16384:16384" ht="23.25" customHeight="1" x14ac:dyDescent="0.25">
      <c r="B139" s="372"/>
      <c r="C139" s="208">
        <f>COUNTIF(F137:L137,"&gt;0")</f>
        <v>0</v>
      </c>
      <c r="D139" s="217" t="s">
        <v>124</v>
      </c>
      <c r="E139" s="210"/>
      <c r="F139" s="217"/>
      <c r="G139" s="217"/>
      <c r="H139" s="217"/>
      <c r="I139" s="217"/>
      <c r="J139" s="217"/>
      <c r="K139" s="217"/>
      <c r="L139" s="217"/>
    </row>
    <row r="140" spans="2:13 16384:16384" ht="16.5" customHeight="1" x14ac:dyDescent="0.25">
      <c r="B140" s="180"/>
      <c r="C140" s="180"/>
      <c r="D140" s="180"/>
      <c r="E140" s="180"/>
      <c r="F140" s="180"/>
      <c r="G140" s="180"/>
      <c r="H140" s="180"/>
      <c r="I140" s="180"/>
      <c r="J140" s="180"/>
      <c r="K140" s="180"/>
      <c r="L140" s="180"/>
      <c r="M140" s="196"/>
    </row>
    <row r="141" spans="2:13 16384:16384" s="19" customFormat="1" ht="16.5" customHeight="1" x14ac:dyDescent="0.25">
      <c r="B141" s="199" t="s">
        <v>115</v>
      </c>
      <c r="C141" s="196" t="s">
        <v>116</v>
      </c>
      <c r="D141" s="196"/>
      <c r="E141" s="196"/>
      <c r="F141" s="196"/>
      <c r="G141" s="196"/>
      <c r="H141" s="373" t="s">
        <v>125</v>
      </c>
      <c r="I141" s="373"/>
      <c r="J141" s="219" t="s">
        <v>126</v>
      </c>
      <c r="K141" s="198" t="s">
        <v>113</v>
      </c>
      <c r="L141" s="197" t="s">
        <v>114</v>
      </c>
      <c r="M141" s="196"/>
    </row>
  </sheetData>
  <mergeCells count="121">
    <mergeCell ref="H141:I141"/>
    <mergeCell ref="B134:B135"/>
    <mergeCell ref="C134:C135"/>
    <mergeCell ref="D134:D135"/>
    <mergeCell ref="B136:C137"/>
    <mergeCell ref="D136:D137"/>
    <mergeCell ref="B138:B139"/>
    <mergeCell ref="B127:B128"/>
    <mergeCell ref="C127:C128"/>
    <mergeCell ref="D127:D128"/>
    <mergeCell ref="B129:C130"/>
    <mergeCell ref="D129:D130"/>
    <mergeCell ref="B131:B132"/>
    <mergeCell ref="B120:B121"/>
    <mergeCell ref="C120:C121"/>
    <mergeCell ref="D120:D121"/>
    <mergeCell ref="B122:C123"/>
    <mergeCell ref="D122:D123"/>
    <mergeCell ref="B124:B125"/>
    <mergeCell ref="B113:B114"/>
    <mergeCell ref="C113:C114"/>
    <mergeCell ref="D113:D114"/>
    <mergeCell ref="B115:C116"/>
    <mergeCell ref="D115:D116"/>
    <mergeCell ref="B117:B118"/>
    <mergeCell ref="B106:B107"/>
    <mergeCell ref="C106:C107"/>
    <mergeCell ref="D106:D107"/>
    <mergeCell ref="B108:C109"/>
    <mergeCell ref="D108:D109"/>
    <mergeCell ref="B110:B111"/>
    <mergeCell ref="B99:B100"/>
    <mergeCell ref="C99:C100"/>
    <mergeCell ref="D99:D100"/>
    <mergeCell ref="B101:C102"/>
    <mergeCell ref="D101:D102"/>
    <mergeCell ref="B103:B104"/>
    <mergeCell ref="B92:B93"/>
    <mergeCell ref="C92:C93"/>
    <mergeCell ref="D92:D93"/>
    <mergeCell ref="B94:C95"/>
    <mergeCell ref="D94:D95"/>
    <mergeCell ref="B96:B97"/>
    <mergeCell ref="B85:B86"/>
    <mergeCell ref="C85:C86"/>
    <mergeCell ref="D85:D86"/>
    <mergeCell ref="B87:C88"/>
    <mergeCell ref="D87:D88"/>
    <mergeCell ref="B89:B90"/>
    <mergeCell ref="B78:B79"/>
    <mergeCell ref="C78:C79"/>
    <mergeCell ref="D78:D79"/>
    <mergeCell ref="B80:C81"/>
    <mergeCell ref="D80:D81"/>
    <mergeCell ref="B82:B83"/>
    <mergeCell ref="B71:B72"/>
    <mergeCell ref="C71:C72"/>
    <mergeCell ref="D71:D72"/>
    <mergeCell ref="B73:C74"/>
    <mergeCell ref="D73:D74"/>
    <mergeCell ref="B75:B76"/>
    <mergeCell ref="B64:B65"/>
    <mergeCell ref="C64:C65"/>
    <mergeCell ref="D64:D65"/>
    <mergeCell ref="B66:C67"/>
    <mergeCell ref="D66:D67"/>
    <mergeCell ref="B68:B69"/>
    <mergeCell ref="B57:B58"/>
    <mergeCell ref="C57:C58"/>
    <mergeCell ref="D57:D58"/>
    <mergeCell ref="B59:C60"/>
    <mergeCell ref="D59:D60"/>
    <mergeCell ref="B61:B62"/>
    <mergeCell ref="B50:B51"/>
    <mergeCell ref="C50:C51"/>
    <mergeCell ref="D50:D51"/>
    <mergeCell ref="B52:C53"/>
    <mergeCell ref="D52:D53"/>
    <mergeCell ref="B54:B55"/>
    <mergeCell ref="B43:B44"/>
    <mergeCell ref="C43:C44"/>
    <mergeCell ref="D43:D44"/>
    <mergeCell ref="B45:C46"/>
    <mergeCell ref="D45:D46"/>
    <mergeCell ref="B47:B48"/>
    <mergeCell ref="B36:B37"/>
    <mergeCell ref="C36:C37"/>
    <mergeCell ref="D36:D37"/>
    <mergeCell ref="B38:C39"/>
    <mergeCell ref="D38:D39"/>
    <mergeCell ref="B40:B41"/>
    <mergeCell ref="B29:B30"/>
    <mergeCell ref="C29:C30"/>
    <mergeCell ref="D29:D30"/>
    <mergeCell ref="B31:C32"/>
    <mergeCell ref="D31:D32"/>
    <mergeCell ref="B33:B34"/>
    <mergeCell ref="I25:I26"/>
    <mergeCell ref="J25:J26"/>
    <mergeCell ref="K25:K26"/>
    <mergeCell ref="L25:L26"/>
    <mergeCell ref="N25:N26"/>
    <mergeCell ref="B26:C26"/>
    <mergeCell ref="B23:C24"/>
    <mergeCell ref="B25:C25"/>
    <mergeCell ref="D25:E26"/>
    <mergeCell ref="F25:F26"/>
    <mergeCell ref="G25:G26"/>
    <mergeCell ref="H25:H26"/>
    <mergeCell ref="B13:C14"/>
    <mergeCell ref="B15:C15"/>
    <mergeCell ref="B16:C17"/>
    <mergeCell ref="B19:C19"/>
    <mergeCell ref="B20:C21"/>
    <mergeCell ref="B22:C22"/>
    <mergeCell ref="F2:G2"/>
    <mergeCell ref="F4:G4"/>
    <mergeCell ref="B7:C8"/>
    <mergeCell ref="D7:E8"/>
    <mergeCell ref="B10:C11"/>
    <mergeCell ref="B12:C12"/>
  </mergeCells>
  <conditionalFormatting sqref="L9:L24">
    <cfRule type="duplicateValues" dxfId="571" priority="293"/>
    <cfRule type="duplicateValues" dxfId="570" priority="295"/>
  </conditionalFormatting>
  <conditionalFormatting sqref="L24">
    <cfRule type="duplicateValues" dxfId="569" priority="294"/>
  </conditionalFormatting>
  <conditionalFormatting sqref="F9:F24">
    <cfRule type="duplicateValues" dxfId="568" priority="290"/>
    <cfRule type="duplicateValues" dxfId="567" priority="292"/>
  </conditionalFormatting>
  <conditionalFormatting sqref="F24">
    <cfRule type="duplicateValues" dxfId="566" priority="291"/>
  </conditionalFormatting>
  <conditionalFormatting sqref="G9:G24">
    <cfRule type="duplicateValues" dxfId="565" priority="287"/>
    <cfRule type="duplicateValues" dxfId="564" priority="289"/>
  </conditionalFormatting>
  <conditionalFormatting sqref="G24">
    <cfRule type="duplicateValues" dxfId="563" priority="288"/>
  </conditionalFormatting>
  <conditionalFormatting sqref="H9:H24">
    <cfRule type="duplicateValues" dxfId="562" priority="284"/>
    <cfRule type="duplicateValues" dxfId="561" priority="286"/>
  </conditionalFormatting>
  <conditionalFormatting sqref="H24">
    <cfRule type="duplicateValues" dxfId="560" priority="285"/>
  </conditionalFormatting>
  <conditionalFormatting sqref="I9:I24">
    <cfRule type="duplicateValues" dxfId="559" priority="281"/>
    <cfRule type="duplicateValues" dxfId="558" priority="283"/>
  </conditionalFormatting>
  <conditionalFormatting sqref="I24">
    <cfRule type="duplicateValues" dxfId="557" priority="282"/>
  </conditionalFormatting>
  <conditionalFormatting sqref="J9:J24">
    <cfRule type="duplicateValues" dxfId="556" priority="278"/>
    <cfRule type="duplicateValues" dxfId="555" priority="280"/>
  </conditionalFormatting>
  <conditionalFormatting sqref="J24">
    <cfRule type="duplicateValues" dxfId="554" priority="279"/>
  </conditionalFormatting>
  <conditionalFormatting sqref="K9:K24">
    <cfRule type="duplicateValues" dxfId="553" priority="275"/>
    <cfRule type="duplicateValues" dxfId="552" priority="277"/>
  </conditionalFormatting>
  <conditionalFormatting sqref="K24">
    <cfRule type="duplicateValues" dxfId="551" priority="276"/>
  </conditionalFormatting>
  <conditionalFormatting sqref="F30:K30">
    <cfRule type="cellIs" dxfId="550" priority="274" operator="equal">
      <formula>"Off"</formula>
    </cfRule>
  </conditionalFormatting>
  <conditionalFormatting sqref="L30">
    <cfRule type="cellIs" dxfId="549" priority="273" operator="equal">
      <formula>"Off"</formula>
    </cfRule>
  </conditionalFormatting>
  <conditionalFormatting sqref="B31 B38 B45 B52 B59 B66 B73 B80 B87 B94 B101 B108 B115 B122 B129 B136">
    <cfRule type="duplicateValues" dxfId="548" priority="272"/>
  </conditionalFormatting>
  <conditionalFormatting sqref="F33">
    <cfRule type="cellIs" dxfId="547" priority="266" operator="equal">
      <formula>3</formula>
    </cfRule>
    <cfRule type="cellIs" dxfId="546" priority="268" operator="equal">
      <formula>1</formula>
    </cfRule>
    <cfRule type="cellIs" dxfId="545" priority="269" operator="equal">
      <formula>2</formula>
    </cfRule>
    <cfRule type="cellIs" dxfId="544" priority="270" operator="equal">
      <formula>4</formula>
    </cfRule>
    <cfRule type="colorScale" priority="271">
      <colorScale>
        <cfvo type="num" val="1"/>
        <cfvo type="num" val="2.2999999999999998"/>
        <cfvo type="num" val="4"/>
        <color rgb="FFFF9966"/>
        <color rgb="FFFFEB84"/>
        <color theme="8" tint="-0.249977111117893"/>
      </colorScale>
    </cfRule>
  </conditionalFormatting>
  <conditionalFormatting sqref="F33">
    <cfRule type="cellIs" dxfId="543" priority="267" operator="equal">
      <formula>0</formula>
    </cfRule>
  </conditionalFormatting>
  <conditionalFormatting sqref="F33:L33">
    <cfRule type="cellIs" dxfId="542" priority="260" operator="equal">
      <formula>3</formula>
    </cfRule>
    <cfRule type="cellIs" dxfId="541" priority="262" operator="equal">
      <formula>1</formula>
    </cfRule>
    <cfRule type="cellIs" dxfId="540" priority="263" operator="equal">
      <formula>2</formula>
    </cfRule>
    <cfRule type="cellIs" dxfId="539" priority="264" operator="equal">
      <formula>4</formula>
    </cfRule>
    <cfRule type="colorScale" priority="265">
      <colorScale>
        <cfvo type="num" val="1"/>
        <cfvo type="num" val="2.2999999999999998"/>
        <cfvo type="num" val="4"/>
        <color rgb="FFFF9966"/>
        <color rgb="FFFFEB84"/>
        <color theme="8" tint="-0.249977111117893"/>
      </colorScale>
    </cfRule>
  </conditionalFormatting>
  <conditionalFormatting sqref="F33:L33">
    <cfRule type="cellIs" dxfId="538" priority="261" operator="equal">
      <formula>0</formula>
    </cfRule>
  </conditionalFormatting>
  <conditionalFormatting sqref="D33">
    <cfRule type="cellIs" dxfId="537" priority="258" operator="equal">
      <formula>0</formula>
    </cfRule>
    <cfRule type="colorScale" priority="259">
      <colorScale>
        <cfvo type="num" val="0.5"/>
        <cfvo type="num" val="0.8"/>
        <cfvo type="num" val="1"/>
        <color rgb="FFFF2F2F"/>
        <color rgb="FFFF9999"/>
        <color theme="8" tint="-0.249977111117893"/>
      </colorScale>
    </cfRule>
  </conditionalFormatting>
  <conditionalFormatting sqref="F37:K37">
    <cfRule type="cellIs" dxfId="536" priority="257" operator="equal">
      <formula>"Off"</formula>
    </cfRule>
  </conditionalFormatting>
  <conditionalFormatting sqref="L37">
    <cfRule type="cellIs" dxfId="535" priority="256" operator="equal">
      <formula>"Off"</formula>
    </cfRule>
  </conditionalFormatting>
  <conditionalFormatting sqref="B38">
    <cfRule type="duplicateValues" dxfId="534" priority="255"/>
  </conditionalFormatting>
  <conditionalFormatting sqref="F40">
    <cfRule type="cellIs" dxfId="533" priority="249" operator="equal">
      <formula>3</formula>
    </cfRule>
    <cfRule type="cellIs" dxfId="532" priority="251" operator="equal">
      <formula>1</formula>
    </cfRule>
    <cfRule type="cellIs" dxfId="531" priority="252" operator="equal">
      <formula>2</formula>
    </cfRule>
    <cfRule type="cellIs" dxfId="530" priority="253" operator="equal">
      <formula>4</formula>
    </cfRule>
    <cfRule type="colorScale" priority="254">
      <colorScale>
        <cfvo type="num" val="1"/>
        <cfvo type="num" val="2.2999999999999998"/>
        <cfvo type="num" val="4"/>
        <color rgb="FFFF9966"/>
        <color rgb="FFFFEB84"/>
        <color theme="8" tint="-0.249977111117893"/>
      </colorScale>
    </cfRule>
  </conditionalFormatting>
  <conditionalFormatting sqref="F40">
    <cfRule type="cellIs" dxfId="529" priority="250" operator="equal">
      <formula>0</formula>
    </cfRule>
  </conditionalFormatting>
  <conditionalFormatting sqref="F40:L40">
    <cfRule type="cellIs" dxfId="528" priority="243" operator="equal">
      <formula>3</formula>
    </cfRule>
    <cfRule type="cellIs" dxfId="527" priority="245" operator="equal">
      <formula>1</formula>
    </cfRule>
    <cfRule type="cellIs" dxfId="526" priority="246" operator="equal">
      <formula>2</formula>
    </cfRule>
    <cfRule type="cellIs" dxfId="525" priority="247" operator="equal">
      <formula>4</formula>
    </cfRule>
    <cfRule type="colorScale" priority="248">
      <colorScale>
        <cfvo type="num" val="1"/>
        <cfvo type="num" val="2.2999999999999998"/>
        <cfvo type="num" val="4"/>
        <color rgb="FFFF9966"/>
        <color rgb="FFFFEB84"/>
        <color theme="8" tint="-0.249977111117893"/>
      </colorScale>
    </cfRule>
  </conditionalFormatting>
  <conditionalFormatting sqref="F40:L40">
    <cfRule type="cellIs" dxfId="524" priority="244" operator="equal">
      <formula>0</formula>
    </cfRule>
  </conditionalFormatting>
  <conditionalFormatting sqref="D40">
    <cfRule type="cellIs" dxfId="523" priority="241" operator="equal">
      <formula>0</formula>
    </cfRule>
    <cfRule type="colorScale" priority="242">
      <colorScale>
        <cfvo type="num" val="0.5"/>
        <cfvo type="num" val="0.8"/>
        <cfvo type="num" val="1"/>
        <color rgb="FFFF2F2F"/>
        <color rgb="FFFF9999"/>
        <color theme="8" tint="-0.249977111117893"/>
      </colorScale>
    </cfRule>
  </conditionalFormatting>
  <conditionalFormatting sqref="F44:K44">
    <cfRule type="cellIs" dxfId="522" priority="240" operator="equal">
      <formula>"Off"</formula>
    </cfRule>
  </conditionalFormatting>
  <conditionalFormatting sqref="L44">
    <cfRule type="cellIs" dxfId="521" priority="239" operator="equal">
      <formula>"Off"</formula>
    </cfRule>
  </conditionalFormatting>
  <conditionalFormatting sqref="B45">
    <cfRule type="duplicateValues" dxfId="520" priority="238"/>
  </conditionalFormatting>
  <conditionalFormatting sqref="F47">
    <cfRule type="cellIs" dxfId="519" priority="232" operator="equal">
      <formula>3</formula>
    </cfRule>
    <cfRule type="cellIs" dxfId="518" priority="234" operator="equal">
      <formula>1</formula>
    </cfRule>
    <cfRule type="cellIs" dxfId="517" priority="235" operator="equal">
      <formula>2</formula>
    </cfRule>
    <cfRule type="cellIs" dxfId="516" priority="236" operator="equal">
      <formula>4</formula>
    </cfRule>
    <cfRule type="colorScale" priority="237">
      <colorScale>
        <cfvo type="num" val="1"/>
        <cfvo type="num" val="2.2999999999999998"/>
        <cfvo type="num" val="4"/>
        <color rgb="FFFF9966"/>
        <color rgb="FFFFEB84"/>
        <color theme="8" tint="-0.249977111117893"/>
      </colorScale>
    </cfRule>
  </conditionalFormatting>
  <conditionalFormatting sqref="F47">
    <cfRule type="cellIs" dxfId="515" priority="233" operator="equal">
      <formula>0</formula>
    </cfRule>
  </conditionalFormatting>
  <conditionalFormatting sqref="F47:L47">
    <cfRule type="cellIs" dxfId="514" priority="226" operator="equal">
      <formula>3</formula>
    </cfRule>
    <cfRule type="cellIs" dxfId="513" priority="228" operator="equal">
      <formula>1</formula>
    </cfRule>
    <cfRule type="cellIs" dxfId="512" priority="229" operator="equal">
      <formula>2</formula>
    </cfRule>
    <cfRule type="cellIs" dxfId="511" priority="230" operator="equal">
      <formula>4</formula>
    </cfRule>
    <cfRule type="colorScale" priority="231">
      <colorScale>
        <cfvo type="num" val="1"/>
        <cfvo type="num" val="2.2999999999999998"/>
        <cfvo type="num" val="4"/>
        <color rgb="FFFF9966"/>
        <color rgb="FFFFEB84"/>
        <color theme="8" tint="-0.249977111117893"/>
      </colorScale>
    </cfRule>
  </conditionalFormatting>
  <conditionalFormatting sqref="F47:L47">
    <cfRule type="cellIs" dxfId="510" priority="227" operator="equal">
      <formula>0</formula>
    </cfRule>
  </conditionalFormatting>
  <conditionalFormatting sqref="D47">
    <cfRule type="cellIs" dxfId="509" priority="224" operator="equal">
      <formula>0</formula>
    </cfRule>
    <cfRule type="colorScale" priority="225">
      <colorScale>
        <cfvo type="num" val="0.5"/>
        <cfvo type="num" val="0.8"/>
        <cfvo type="num" val="1"/>
        <color rgb="FFFF2F2F"/>
        <color rgb="FFFF9999"/>
        <color theme="8" tint="-0.249977111117893"/>
      </colorScale>
    </cfRule>
  </conditionalFormatting>
  <conditionalFormatting sqref="F72:K72">
    <cfRule type="cellIs" dxfId="508" priority="172" operator="equal">
      <formula>"Off"</formula>
    </cfRule>
  </conditionalFormatting>
  <conditionalFormatting sqref="L72">
    <cfRule type="cellIs" dxfId="507" priority="171" operator="equal">
      <formula>"Off"</formula>
    </cfRule>
  </conditionalFormatting>
  <conditionalFormatting sqref="F75">
    <cfRule type="cellIs" dxfId="506" priority="164" operator="equal">
      <formula>3</formula>
    </cfRule>
    <cfRule type="cellIs" dxfId="505" priority="166" operator="equal">
      <formula>1</formula>
    </cfRule>
    <cfRule type="cellIs" dxfId="504" priority="167" operator="equal">
      <formula>2</formula>
    </cfRule>
    <cfRule type="cellIs" dxfId="503" priority="168" operator="equal">
      <formula>4</formula>
    </cfRule>
    <cfRule type="colorScale" priority="169">
      <colorScale>
        <cfvo type="num" val="1"/>
        <cfvo type="num" val="2.2999999999999998"/>
        <cfvo type="num" val="4"/>
        <color rgb="FFFF9966"/>
        <color rgb="FFFFEB84"/>
        <color theme="8" tint="-0.249977111117893"/>
      </colorScale>
    </cfRule>
  </conditionalFormatting>
  <conditionalFormatting sqref="F75">
    <cfRule type="cellIs" dxfId="502" priority="165" operator="equal">
      <formula>0</formula>
    </cfRule>
  </conditionalFormatting>
  <conditionalFormatting sqref="F75:L75">
    <cfRule type="cellIs" dxfId="501" priority="158" operator="equal">
      <formula>3</formula>
    </cfRule>
    <cfRule type="cellIs" dxfId="500" priority="160" operator="equal">
      <formula>1</formula>
    </cfRule>
    <cfRule type="cellIs" dxfId="499" priority="161" operator="equal">
      <formula>2</formula>
    </cfRule>
    <cfRule type="cellIs" dxfId="498" priority="162" operator="equal">
      <formula>4</formula>
    </cfRule>
    <cfRule type="colorScale" priority="163">
      <colorScale>
        <cfvo type="num" val="1"/>
        <cfvo type="num" val="2.2999999999999998"/>
        <cfvo type="num" val="4"/>
        <color rgb="FFFF9966"/>
        <color rgb="FFFFEB84"/>
        <color theme="8" tint="-0.249977111117893"/>
      </colorScale>
    </cfRule>
  </conditionalFormatting>
  <conditionalFormatting sqref="F75:L75">
    <cfRule type="cellIs" dxfId="497" priority="159" operator="equal">
      <formula>0</formula>
    </cfRule>
  </conditionalFormatting>
  <conditionalFormatting sqref="D75">
    <cfRule type="cellIs" dxfId="496" priority="156" operator="equal">
      <formula>0</formula>
    </cfRule>
    <cfRule type="colorScale" priority="157">
      <colorScale>
        <cfvo type="num" val="0.5"/>
        <cfvo type="num" val="0.8"/>
        <cfvo type="num" val="1"/>
        <color rgb="FFFF2F2F"/>
        <color rgb="FFFF9999"/>
        <color theme="8" tint="-0.249977111117893"/>
      </colorScale>
    </cfRule>
  </conditionalFormatting>
  <conditionalFormatting sqref="F51:K51">
    <cfRule type="cellIs" dxfId="495" priority="223" operator="equal">
      <formula>"Off"</formula>
    </cfRule>
  </conditionalFormatting>
  <conditionalFormatting sqref="L51">
    <cfRule type="cellIs" dxfId="494" priority="222" operator="equal">
      <formula>"Off"</formula>
    </cfRule>
  </conditionalFormatting>
  <conditionalFormatting sqref="B52">
    <cfRule type="duplicateValues" dxfId="493" priority="221"/>
  </conditionalFormatting>
  <conditionalFormatting sqref="F54">
    <cfRule type="cellIs" dxfId="492" priority="215" operator="equal">
      <formula>3</formula>
    </cfRule>
    <cfRule type="cellIs" dxfId="491" priority="217" operator="equal">
      <formula>1</formula>
    </cfRule>
    <cfRule type="cellIs" dxfId="490" priority="218" operator="equal">
      <formula>2</formula>
    </cfRule>
    <cfRule type="cellIs" dxfId="489" priority="219" operator="equal">
      <formula>4</formula>
    </cfRule>
    <cfRule type="colorScale" priority="220">
      <colorScale>
        <cfvo type="num" val="1"/>
        <cfvo type="num" val="2.2999999999999998"/>
        <cfvo type="num" val="4"/>
        <color rgb="FFFF9966"/>
        <color rgb="FFFFEB84"/>
        <color theme="8" tint="-0.249977111117893"/>
      </colorScale>
    </cfRule>
  </conditionalFormatting>
  <conditionalFormatting sqref="F54">
    <cfRule type="cellIs" dxfId="488" priority="216" operator="equal">
      <formula>0</formula>
    </cfRule>
  </conditionalFormatting>
  <conditionalFormatting sqref="F54:L54">
    <cfRule type="cellIs" dxfId="487" priority="209" operator="equal">
      <formula>3</formula>
    </cfRule>
    <cfRule type="cellIs" dxfId="486" priority="211" operator="equal">
      <formula>1</formula>
    </cfRule>
    <cfRule type="cellIs" dxfId="485" priority="212" operator="equal">
      <formula>2</formula>
    </cfRule>
    <cfRule type="cellIs" dxfId="484" priority="213" operator="equal">
      <formula>4</formula>
    </cfRule>
    <cfRule type="colorScale" priority="214">
      <colorScale>
        <cfvo type="num" val="1"/>
        <cfvo type="num" val="2.2999999999999998"/>
        <cfvo type="num" val="4"/>
        <color rgb="FFFF9966"/>
        <color rgb="FFFFEB84"/>
        <color theme="8" tint="-0.249977111117893"/>
      </colorScale>
    </cfRule>
  </conditionalFormatting>
  <conditionalFormatting sqref="F54:L54">
    <cfRule type="cellIs" dxfId="483" priority="210" operator="equal">
      <formula>0</formula>
    </cfRule>
  </conditionalFormatting>
  <conditionalFormatting sqref="D54">
    <cfRule type="cellIs" dxfId="482" priority="207" operator="equal">
      <formula>0</formula>
    </cfRule>
    <cfRule type="colorScale" priority="208">
      <colorScale>
        <cfvo type="num" val="0.5"/>
        <cfvo type="num" val="0.8"/>
        <cfvo type="num" val="1"/>
        <color rgb="FFFF2F2F"/>
        <color rgb="FFFF9999"/>
        <color theme="8" tint="-0.249977111117893"/>
      </colorScale>
    </cfRule>
  </conditionalFormatting>
  <conditionalFormatting sqref="F58:K58">
    <cfRule type="cellIs" dxfId="481" priority="206" operator="equal">
      <formula>"Off"</formula>
    </cfRule>
  </conditionalFormatting>
  <conditionalFormatting sqref="L58">
    <cfRule type="cellIs" dxfId="480" priority="205" operator="equal">
      <formula>"Off"</formula>
    </cfRule>
  </conditionalFormatting>
  <conditionalFormatting sqref="B59">
    <cfRule type="duplicateValues" dxfId="479" priority="204"/>
  </conditionalFormatting>
  <conditionalFormatting sqref="F61">
    <cfRule type="cellIs" dxfId="478" priority="198" operator="equal">
      <formula>3</formula>
    </cfRule>
    <cfRule type="cellIs" dxfId="477" priority="200" operator="equal">
      <formula>1</formula>
    </cfRule>
    <cfRule type="cellIs" dxfId="476" priority="201" operator="equal">
      <formula>2</formula>
    </cfRule>
    <cfRule type="cellIs" dxfId="475" priority="202" operator="equal">
      <formula>4</formula>
    </cfRule>
    <cfRule type="colorScale" priority="203">
      <colorScale>
        <cfvo type="num" val="1"/>
        <cfvo type="num" val="2.2999999999999998"/>
        <cfvo type="num" val="4"/>
        <color rgb="FFFF9966"/>
        <color rgb="FFFFEB84"/>
        <color theme="8" tint="-0.249977111117893"/>
      </colorScale>
    </cfRule>
  </conditionalFormatting>
  <conditionalFormatting sqref="F61">
    <cfRule type="cellIs" dxfId="474" priority="199" operator="equal">
      <formula>0</formula>
    </cfRule>
  </conditionalFormatting>
  <conditionalFormatting sqref="F61:L61">
    <cfRule type="cellIs" dxfId="473" priority="192" operator="equal">
      <formula>3</formula>
    </cfRule>
    <cfRule type="cellIs" dxfId="472" priority="194" operator="equal">
      <formula>1</formula>
    </cfRule>
    <cfRule type="cellIs" dxfId="471" priority="195" operator="equal">
      <formula>2</formula>
    </cfRule>
    <cfRule type="cellIs" dxfId="470" priority="196" operator="equal">
      <formula>4</formula>
    </cfRule>
    <cfRule type="colorScale" priority="197">
      <colorScale>
        <cfvo type="num" val="1"/>
        <cfvo type="num" val="2.2999999999999998"/>
        <cfvo type="num" val="4"/>
        <color rgb="FFFF9966"/>
        <color rgb="FFFFEB84"/>
        <color theme="8" tint="-0.249977111117893"/>
      </colorScale>
    </cfRule>
  </conditionalFormatting>
  <conditionalFormatting sqref="F61:L61">
    <cfRule type="cellIs" dxfId="469" priority="193" operator="equal">
      <formula>0</formula>
    </cfRule>
  </conditionalFormatting>
  <conditionalFormatting sqref="D61">
    <cfRule type="cellIs" dxfId="468" priority="190" operator="equal">
      <formula>0</formula>
    </cfRule>
    <cfRule type="colorScale" priority="191">
      <colorScale>
        <cfvo type="num" val="0.5"/>
        <cfvo type="num" val="0.8"/>
        <cfvo type="num" val="1"/>
        <color rgb="FFFF2F2F"/>
        <color rgb="FFFF9999"/>
        <color theme="8" tint="-0.249977111117893"/>
      </colorScale>
    </cfRule>
  </conditionalFormatting>
  <conditionalFormatting sqref="F65:K65">
    <cfRule type="cellIs" dxfId="467" priority="189" operator="equal">
      <formula>"Off"</formula>
    </cfRule>
  </conditionalFormatting>
  <conditionalFormatting sqref="L65">
    <cfRule type="cellIs" dxfId="466" priority="188" operator="equal">
      <formula>"Off"</formula>
    </cfRule>
  </conditionalFormatting>
  <conditionalFormatting sqref="B66">
    <cfRule type="duplicateValues" dxfId="465" priority="187"/>
  </conditionalFormatting>
  <conditionalFormatting sqref="F68">
    <cfRule type="cellIs" dxfId="464" priority="181" operator="equal">
      <formula>3</formula>
    </cfRule>
    <cfRule type="cellIs" dxfId="463" priority="183" operator="equal">
      <formula>1</formula>
    </cfRule>
    <cfRule type="cellIs" dxfId="462" priority="184" operator="equal">
      <formula>2</formula>
    </cfRule>
    <cfRule type="cellIs" dxfId="461" priority="185" operator="equal">
      <formula>4</formula>
    </cfRule>
    <cfRule type="colorScale" priority="186">
      <colorScale>
        <cfvo type="num" val="1"/>
        <cfvo type="num" val="2.2999999999999998"/>
        <cfvo type="num" val="4"/>
        <color rgb="FFFF9966"/>
        <color rgb="FFFFEB84"/>
        <color theme="8" tint="-0.249977111117893"/>
      </colorScale>
    </cfRule>
  </conditionalFormatting>
  <conditionalFormatting sqref="F68">
    <cfRule type="cellIs" dxfId="460" priority="182" operator="equal">
      <formula>0</formula>
    </cfRule>
  </conditionalFormatting>
  <conditionalFormatting sqref="F68:L68">
    <cfRule type="cellIs" dxfId="459" priority="175" operator="equal">
      <formula>3</formula>
    </cfRule>
    <cfRule type="cellIs" dxfId="458" priority="177" operator="equal">
      <formula>1</formula>
    </cfRule>
    <cfRule type="cellIs" dxfId="457" priority="178" operator="equal">
      <formula>2</formula>
    </cfRule>
    <cfRule type="cellIs" dxfId="456" priority="179" operator="equal">
      <formula>4</formula>
    </cfRule>
    <cfRule type="colorScale" priority="180">
      <colorScale>
        <cfvo type="num" val="1"/>
        <cfvo type="num" val="2.2999999999999998"/>
        <cfvo type="num" val="4"/>
        <color rgb="FFFF9966"/>
        <color rgb="FFFFEB84"/>
        <color theme="8" tint="-0.249977111117893"/>
      </colorScale>
    </cfRule>
  </conditionalFormatting>
  <conditionalFormatting sqref="F68:L68">
    <cfRule type="cellIs" dxfId="455" priority="176" operator="equal">
      <formula>0</formula>
    </cfRule>
  </conditionalFormatting>
  <conditionalFormatting sqref="D68">
    <cfRule type="cellIs" dxfId="454" priority="173" operator="equal">
      <formula>0</formula>
    </cfRule>
    <cfRule type="colorScale" priority="174">
      <colorScale>
        <cfvo type="num" val="0.5"/>
        <cfvo type="num" val="0.8"/>
        <cfvo type="num" val="1"/>
        <color rgb="FFFF2F2F"/>
        <color rgb="FFFF9999"/>
        <color theme="8" tint="-0.249977111117893"/>
      </colorScale>
    </cfRule>
  </conditionalFormatting>
  <conditionalFormatting sqref="B73">
    <cfRule type="duplicateValues" dxfId="453" priority="170"/>
  </conditionalFormatting>
  <conditionalFormatting sqref="F79:K79">
    <cfRule type="cellIs" dxfId="452" priority="155" operator="equal">
      <formula>"Off"</formula>
    </cfRule>
  </conditionalFormatting>
  <conditionalFormatting sqref="L79">
    <cfRule type="cellIs" dxfId="451" priority="154" operator="equal">
      <formula>"Off"</formula>
    </cfRule>
  </conditionalFormatting>
  <conditionalFormatting sqref="F82">
    <cfRule type="cellIs" dxfId="450" priority="147" operator="equal">
      <formula>3</formula>
    </cfRule>
    <cfRule type="cellIs" dxfId="449" priority="149" operator="equal">
      <formula>1</formula>
    </cfRule>
    <cfRule type="cellIs" dxfId="448" priority="150" operator="equal">
      <formula>2</formula>
    </cfRule>
    <cfRule type="cellIs" dxfId="447" priority="151" operator="equal">
      <formula>4</formula>
    </cfRule>
    <cfRule type="colorScale" priority="152">
      <colorScale>
        <cfvo type="num" val="1"/>
        <cfvo type="num" val="2.2999999999999998"/>
        <cfvo type="num" val="4"/>
        <color rgb="FFFF9966"/>
        <color rgb="FFFFEB84"/>
        <color theme="8" tint="-0.249977111117893"/>
      </colorScale>
    </cfRule>
  </conditionalFormatting>
  <conditionalFormatting sqref="F82">
    <cfRule type="cellIs" dxfId="446" priority="148" operator="equal">
      <formula>0</formula>
    </cfRule>
  </conditionalFormatting>
  <conditionalFormatting sqref="F82:L82">
    <cfRule type="cellIs" dxfId="445" priority="141" operator="equal">
      <formula>3</formula>
    </cfRule>
    <cfRule type="cellIs" dxfId="444" priority="143" operator="equal">
      <formula>1</formula>
    </cfRule>
    <cfRule type="cellIs" dxfId="443" priority="144" operator="equal">
      <formula>2</formula>
    </cfRule>
    <cfRule type="cellIs" dxfId="442" priority="145" operator="equal">
      <formula>4</formula>
    </cfRule>
    <cfRule type="colorScale" priority="146">
      <colorScale>
        <cfvo type="num" val="1"/>
        <cfvo type="num" val="2.2999999999999998"/>
        <cfvo type="num" val="4"/>
        <color rgb="FFFF9966"/>
        <color rgb="FFFFEB84"/>
        <color theme="8" tint="-0.249977111117893"/>
      </colorScale>
    </cfRule>
  </conditionalFormatting>
  <conditionalFormatting sqref="F82:L82">
    <cfRule type="cellIs" dxfId="441" priority="142" operator="equal">
      <formula>0</formula>
    </cfRule>
  </conditionalFormatting>
  <conditionalFormatting sqref="D82">
    <cfRule type="cellIs" dxfId="440" priority="139" operator="equal">
      <formula>0</formula>
    </cfRule>
    <cfRule type="colorScale" priority="140">
      <colorScale>
        <cfvo type="num" val="0.5"/>
        <cfvo type="num" val="0.8"/>
        <cfvo type="num" val="1"/>
        <color rgb="FFFF2F2F"/>
        <color rgb="FFFF9999"/>
        <color theme="8" tint="-0.249977111117893"/>
      </colorScale>
    </cfRule>
  </conditionalFormatting>
  <conditionalFormatting sqref="B80">
    <cfRule type="duplicateValues" dxfId="439" priority="153"/>
  </conditionalFormatting>
  <conditionalFormatting sqref="F86:K86">
    <cfRule type="cellIs" dxfId="438" priority="138" operator="equal">
      <formula>"Off"</formula>
    </cfRule>
  </conditionalFormatting>
  <conditionalFormatting sqref="L86">
    <cfRule type="cellIs" dxfId="437" priority="137" operator="equal">
      <formula>"Off"</formula>
    </cfRule>
  </conditionalFormatting>
  <conditionalFormatting sqref="F89">
    <cfRule type="cellIs" dxfId="436" priority="130" operator="equal">
      <formula>3</formula>
    </cfRule>
    <cfRule type="cellIs" dxfId="435" priority="132" operator="equal">
      <formula>1</formula>
    </cfRule>
    <cfRule type="cellIs" dxfId="434" priority="133" operator="equal">
      <formula>2</formula>
    </cfRule>
    <cfRule type="cellIs" dxfId="433" priority="134" operator="equal">
      <formula>4</formula>
    </cfRule>
    <cfRule type="colorScale" priority="135">
      <colorScale>
        <cfvo type="num" val="1"/>
        <cfvo type="num" val="2.2999999999999998"/>
        <cfvo type="num" val="4"/>
        <color rgb="FFFF9966"/>
        <color rgb="FFFFEB84"/>
        <color theme="8" tint="-0.249977111117893"/>
      </colorScale>
    </cfRule>
  </conditionalFormatting>
  <conditionalFormatting sqref="F89">
    <cfRule type="cellIs" dxfId="432" priority="131" operator="equal">
      <formula>0</formula>
    </cfRule>
  </conditionalFormatting>
  <conditionalFormatting sqref="F89:L89">
    <cfRule type="cellIs" dxfId="431" priority="124" operator="equal">
      <formula>3</formula>
    </cfRule>
    <cfRule type="cellIs" dxfId="430" priority="126" operator="equal">
      <formula>1</formula>
    </cfRule>
    <cfRule type="cellIs" dxfId="429" priority="127" operator="equal">
      <formula>2</formula>
    </cfRule>
    <cfRule type="cellIs" dxfId="428" priority="128" operator="equal">
      <formula>4</formula>
    </cfRule>
    <cfRule type="colorScale" priority="129">
      <colorScale>
        <cfvo type="num" val="1"/>
        <cfvo type="num" val="2.2999999999999998"/>
        <cfvo type="num" val="4"/>
        <color rgb="FFFF9966"/>
        <color rgb="FFFFEB84"/>
        <color theme="8" tint="-0.249977111117893"/>
      </colorScale>
    </cfRule>
  </conditionalFormatting>
  <conditionalFormatting sqref="F89:L89">
    <cfRule type="cellIs" dxfId="427" priority="125" operator="equal">
      <formula>0</formula>
    </cfRule>
  </conditionalFormatting>
  <conditionalFormatting sqref="D89">
    <cfRule type="cellIs" dxfId="426" priority="122" operator="equal">
      <formula>0</formula>
    </cfRule>
    <cfRule type="colorScale" priority="123">
      <colorScale>
        <cfvo type="num" val="0.5"/>
        <cfvo type="num" val="0.8"/>
        <cfvo type="num" val="1"/>
        <color rgb="FFFF2F2F"/>
        <color rgb="FFFF9999"/>
        <color theme="8" tint="-0.249977111117893"/>
      </colorScale>
    </cfRule>
  </conditionalFormatting>
  <conditionalFormatting sqref="B87">
    <cfRule type="duplicateValues" dxfId="425" priority="136"/>
  </conditionalFormatting>
  <conditionalFormatting sqref="F93:K93">
    <cfRule type="cellIs" dxfId="424" priority="121" operator="equal">
      <formula>"Off"</formula>
    </cfRule>
  </conditionalFormatting>
  <conditionalFormatting sqref="L93">
    <cfRule type="cellIs" dxfId="423" priority="120" operator="equal">
      <formula>"Off"</formula>
    </cfRule>
  </conditionalFormatting>
  <conditionalFormatting sqref="F96">
    <cfRule type="cellIs" dxfId="422" priority="113" operator="equal">
      <formula>3</formula>
    </cfRule>
    <cfRule type="cellIs" dxfId="421" priority="115" operator="equal">
      <formula>1</formula>
    </cfRule>
    <cfRule type="cellIs" dxfId="420" priority="116" operator="equal">
      <formula>2</formula>
    </cfRule>
    <cfRule type="cellIs" dxfId="419" priority="117" operator="equal">
      <formula>4</formula>
    </cfRule>
    <cfRule type="colorScale" priority="118">
      <colorScale>
        <cfvo type="num" val="1"/>
        <cfvo type="num" val="2.2999999999999998"/>
        <cfvo type="num" val="4"/>
        <color rgb="FFFF9966"/>
        <color rgb="FFFFEB84"/>
        <color theme="8" tint="-0.249977111117893"/>
      </colorScale>
    </cfRule>
  </conditionalFormatting>
  <conditionalFormatting sqref="F96">
    <cfRule type="cellIs" dxfId="418" priority="114" operator="equal">
      <formula>0</formula>
    </cfRule>
  </conditionalFormatting>
  <conditionalFormatting sqref="F96:L96">
    <cfRule type="cellIs" dxfId="417" priority="107" operator="equal">
      <formula>3</formula>
    </cfRule>
    <cfRule type="cellIs" dxfId="416" priority="109" operator="equal">
      <formula>1</formula>
    </cfRule>
    <cfRule type="cellIs" dxfId="415" priority="110" operator="equal">
      <formula>2</formula>
    </cfRule>
    <cfRule type="cellIs" dxfId="414" priority="111" operator="equal">
      <formula>4</formula>
    </cfRule>
    <cfRule type="colorScale" priority="112">
      <colorScale>
        <cfvo type="num" val="1"/>
        <cfvo type="num" val="2.2999999999999998"/>
        <cfvo type="num" val="4"/>
        <color rgb="FFFF9966"/>
        <color rgb="FFFFEB84"/>
        <color theme="8" tint="-0.249977111117893"/>
      </colorScale>
    </cfRule>
  </conditionalFormatting>
  <conditionalFormatting sqref="F96:L96">
    <cfRule type="cellIs" dxfId="413" priority="108" operator="equal">
      <formula>0</formula>
    </cfRule>
  </conditionalFormatting>
  <conditionalFormatting sqref="D96">
    <cfRule type="cellIs" dxfId="412" priority="105" operator="equal">
      <formula>0</formula>
    </cfRule>
    <cfRule type="colorScale" priority="106">
      <colorScale>
        <cfvo type="num" val="0.5"/>
        <cfvo type="num" val="0.8"/>
        <cfvo type="num" val="1"/>
        <color rgb="FFFF2F2F"/>
        <color rgb="FFFF9999"/>
        <color theme="8" tint="-0.249977111117893"/>
      </colorScale>
    </cfRule>
  </conditionalFormatting>
  <conditionalFormatting sqref="B94">
    <cfRule type="duplicateValues" dxfId="411" priority="119"/>
  </conditionalFormatting>
  <conditionalFormatting sqref="F100:K100">
    <cfRule type="cellIs" dxfId="410" priority="104" operator="equal">
      <formula>"Off"</formula>
    </cfRule>
  </conditionalFormatting>
  <conditionalFormatting sqref="L100">
    <cfRule type="cellIs" dxfId="409" priority="103" operator="equal">
      <formula>"Off"</formula>
    </cfRule>
  </conditionalFormatting>
  <conditionalFormatting sqref="F103">
    <cfRule type="cellIs" dxfId="408" priority="96" operator="equal">
      <formula>3</formula>
    </cfRule>
    <cfRule type="cellIs" dxfId="407" priority="98" operator="equal">
      <formula>1</formula>
    </cfRule>
    <cfRule type="cellIs" dxfId="406" priority="99" operator="equal">
      <formula>2</formula>
    </cfRule>
    <cfRule type="cellIs" dxfId="405" priority="100" operator="equal">
      <formula>4</formula>
    </cfRule>
    <cfRule type="colorScale" priority="101">
      <colorScale>
        <cfvo type="num" val="1"/>
        <cfvo type="num" val="2.2999999999999998"/>
        <cfvo type="num" val="4"/>
        <color rgb="FFFF9966"/>
        <color rgb="FFFFEB84"/>
        <color theme="8" tint="-0.249977111117893"/>
      </colorScale>
    </cfRule>
  </conditionalFormatting>
  <conditionalFormatting sqref="F103">
    <cfRule type="cellIs" dxfId="404" priority="97" operator="equal">
      <formula>0</formula>
    </cfRule>
  </conditionalFormatting>
  <conditionalFormatting sqref="F103:L103">
    <cfRule type="cellIs" dxfId="403" priority="90" operator="equal">
      <formula>3</formula>
    </cfRule>
    <cfRule type="cellIs" dxfId="402" priority="92" operator="equal">
      <formula>1</formula>
    </cfRule>
    <cfRule type="cellIs" dxfId="401" priority="93" operator="equal">
      <formula>2</formula>
    </cfRule>
    <cfRule type="cellIs" dxfId="400" priority="94" operator="equal">
      <formula>4</formula>
    </cfRule>
    <cfRule type="colorScale" priority="95">
      <colorScale>
        <cfvo type="num" val="1"/>
        <cfvo type="num" val="2.2999999999999998"/>
        <cfvo type="num" val="4"/>
        <color rgb="FFFF9966"/>
        <color rgb="FFFFEB84"/>
        <color theme="8" tint="-0.249977111117893"/>
      </colorScale>
    </cfRule>
  </conditionalFormatting>
  <conditionalFormatting sqref="F103:L103">
    <cfRule type="cellIs" dxfId="399" priority="91" operator="equal">
      <formula>0</formula>
    </cfRule>
  </conditionalFormatting>
  <conditionalFormatting sqref="D103">
    <cfRule type="cellIs" dxfId="398" priority="88" operator="equal">
      <formula>0</formula>
    </cfRule>
    <cfRule type="colorScale" priority="89">
      <colorScale>
        <cfvo type="num" val="0.5"/>
        <cfvo type="num" val="0.8"/>
        <cfvo type="num" val="1"/>
        <color rgb="FFFF2F2F"/>
        <color rgb="FFFF9999"/>
        <color theme="8" tint="-0.249977111117893"/>
      </colorScale>
    </cfRule>
  </conditionalFormatting>
  <conditionalFormatting sqref="B101">
    <cfRule type="duplicateValues" dxfId="397" priority="102"/>
  </conditionalFormatting>
  <conditionalFormatting sqref="F107:K107">
    <cfRule type="cellIs" dxfId="396" priority="87" operator="equal">
      <formula>"Off"</formula>
    </cfRule>
  </conditionalFormatting>
  <conditionalFormatting sqref="L107">
    <cfRule type="cellIs" dxfId="395" priority="86" operator="equal">
      <formula>"Off"</formula>
    </cfRule>
  </conditionalFormatting>
  <conditionalFormatting sqref="F110">
    <cfRule type="cellIs" dxfId="394" priority="79" operator="equal">
      <formula>3</formula>
    </cfRule>
    <cfRule type="cellIs" dxfId="393" priority="81" operator="equal">
      <formula>1</formula>
    </cfRule>
    <cfRule type="cellIs" dxfId="392" priority="82" operator="equal">
      <formula>2</formula>
    </cfRule>
    <cfRule type="cellIs" dxfId="391" priority="83" operator="equal">
      <formula>4</formula>
    </cfRule>
    <cfRule type="colorScale" priority="84">
      <colorScale>
        <cfvo type="num" val="1"/>
        <cfvo type="num" val="2.2999999999999998"/>
        <cfvo type="num" val="4"/>
        <color rgb="FFFF9966"/>
        <color rgb="FFFFEB84"/>
        <color theme="8" tint="-0.249977111117893"/>
      </colorScale>
    </cfRule>
  </conditionalFormatting>
  <conditionalFormatting sqref="F110">
    <cfRule type="cellIs" dxfId="390" priority="80" operator="equal">
      <formula>0</formula>
    </cfRule>
  </conditionalFormatting>
  <conditionalFormatting sqref="F110:L110">
    <cfRule type="cellIs" dxfId="389" priority="73" operator="equal">
      <formula>3</formula>
    </cfRule>
    <cfRule type="cellIs" dxfId="388" priority="75" operator="equal">
      <formula>1</formula>
    </cfRule>
    <cfRule type="cellIs" dxfId="387" priority="76" operator="equal">
      <formula>2</formula>
    </cfRule>
    <cfRule type="cellIs" dxfId="386" priority="77" operator="equal">
      <formula>4</formula>
    </cfRule>
    <cfRule type="colorScale" priority="78">
      <colorScale>
        <cfvo type="num" val="1"/>
        <cfvo type="num" val="2.2999999999999998"/>
        <cfvo type="num" val="4"/>
        <color rgb="FFFF9966"/>
        <color rgb="FFFFEB84"/>
        <color theme="8" tint="-0.249977111117893"/>
      </colorScale>
    </cfRule>
  </conditionalFormatting>
  <conditionalFormatting sqref="F110:L110">
    <cfRule type="cellIs" dxfId="385" priority="74" operator="equal">
      <formula>0</formula>
    </cfRule>
  </conditionalFormatting>
  <conditionalFormatting sqref="D110">
    <cfRule type="cellIs" dxfId="384" priority="71" operator="equal">
      <formula>0</formula>
    </cfRule>
    <cfRule type="colorScale" priority="72">
      <colorScale>
        <cfvo type="num" val="0.5"/>
        <cfvo type="num" val="0.8"/>
        <cfvo type="num" val="1"/>
        <color rgb="FFFF2F2F"/>
        <color rgb="FFFF9999"/>
        <color theme="8" tint="-0.249977111117893"/>
      </colorScale>
    </cfRule>
  </conditionalFormatting>
  <conditionalFormatting sqref="B108">
    <cfRule type="duplicateValues" dxfId="383" priority="85"/>
  </conditionalFormatting>
  <conditionalFormatting sqref="F114:K114">
    <cfRule type="cellIs" dxfId="382" priority="70" operator="equal">
      <formula>"Off"</formula>
    </cfRule>
  </conditionalFormatting>
  <conditionalFormatting sqref="L114">
    <cfRule type="cellIs" dxfId="381" priority="69" operator="equal">
      <formula>"Off"</formula>
    </cfRule>
  </conditionalFormatting>
  <conditionalFormatting sqref="F117">
    <cfRule type="cellIs" dxfId="380" priority="62" operator="equal">
      <formula>3</formula>
    </cfRule>
    <cfRule type="cellIs" dxfId="379" priority="64" operator="equal">
      <formula>1</formula>
    </cfRule>
    <cfRule type="cellIs" dxfId="378" priority="65" operator="equal">
      <formula>2</formula>
    </cfRule>
    <cfRule type="cellIs" dxfId="377" priority="66" operator="equal">
      <formula>4</formula>
    </cfRule>
    <cfRule type="colorScale" priority="67">
      <colorScale>
        <cfvo type="num" val="1"/>
        <cfvo type="num" val="2.2999999999999998"/>
        <cfvo type="num" val="4"/>
        <color rgb="FFFF9966"/>
        <color rgb="FFFFEB84"/>
        <color theme="8" tint="-0.249977111117893"/>
      </colorScale>
    </cfRule>
  </conditionalFormatting>
  <conditionalFormatting sqref="F117">
    <cfRule type="cellIs" dxfId="376" priority="63" operator="equal">
      <formula>0</formula>
    </cfRule>
  </conditionalFormatting>
  <conditionalFormatting sqref="F117:L117">
    <cfRule type="cellIs" dxfId="375" priority="56" operator="equal">
      <formula>3</formula>
    </cfRule>
    <cfRule type="cellIs" dxfId="374" priority="58" operator="equal">
      <formula>1</formula>
    </cfRule>
    <cfRule type="cellIs" dxfId="373" priority="59" operator="equal">
      <formula>2</formula>
    </cfRule>
    <cfRule type="cellIs" dxfId="372" priority="60" operator="equal">
      <formula>4</formula>
    </cfRule>
    <cfRule type="colorScale" priority="61">
      <colorScale>
        <cfvo type="num" val="1"/>
        <cfvo type="num" val="2.2999999999999998"/>
        <cfvo type="num" val="4"/>
        <color rgb="FFFF9966"/>
        <color rgb="FFFFEB84"/>
        <color theme="8" tint="-0.249977111117893"/>
      </colorScale>
    </cfRule>
  </conditionalFormatting>
  <conditionalFormatting sqref="F117:L117">
    <cfRule type="cellIs" dxfId="371" priority="57" operator="equal">
      <formula>0</formula>
    </cfRule>
  </conditionalFormatting>
  <conditionalFormatting sqref="D117">
    <cfRule type="cellIs" dxfId="370" priority="54" operator="equal">
      <formula>0</formula>
    </cfRule>
    <cfRule type="colorScale" priority="55">
      <colorScale>
        <cfvo type="num" val="0.5"/>
        <cfvo type="num" val="0.8"/>
        <cfvo type="num" val="1"/>
        <color rgb="FFFF2F2F"/>
        <color rgb="FFFF9999"/>
        <color theme="8" tint="-0.249977111117893"/>
      </colorScale>
    </cfRule>
  </conditionalFormatting>
  <conditionalFormatting sqref="B115">
    <cfRule type="duplicateValues" dxfId="369" priority="68"/>
  </conditionalFormatting>
  <conditionalFormatting sqref="F121:K121">
    <cfRule type="cellIs" dxfId="368" priority="53" operator="equal">
      <formula>"Off"</formula>
    </cfRule>
  </conditionalFormatting>
  <conditionalFormatting sqref="L121">
    <cfRule type="cellIs" dxfId="367" priority="52" operator="equal">
      <formula>"Off"</formula>
    </cfRule>
  </conditionalFormatting>
  <conditionalFormatting sqref="F124">
    <cfRule type="cellIs" dxfId="366" priority="45" operator="equal">
      <formula>3</formula>
    </cfRule>
    <cfRule type="cellIs" dxfId="365" priority="47" operator="equal">
      <formula>1</formula>
    </cfRule>
    <cfRule type="cellIs" dxfId="364" priority="48" operator="equal">
      <formula>2</formula>
    </cfRule>
    <cfRule type="cellIs" dxfId="363" priority="49" operator="equal">
      <formula>4</formula>
    </cfRule>
    <cfRule type="colorScale" priority="50">
      <colorScale>
        <cfvo type="num" val="1"/>
        <cfvo type="num" val="2.2999999999999998"/>
        <cfvo type="num" val="4"/>
        <color rgb="FFFF9966"/>
        <color rgb="FFFFEB84"/>
        <color theme="8" tint="-0.249977111117893"/>
      </colorScale>
    </cfRule>
  </conditionalFormatting>
  <conditionalFormatting sqref="F124">
    <cfRule type="cellIs" dxfId="362" priority="46" operator="equal">
      <formula>0</formula>
    </cfRule>
  </conditionalFormatting>
  <conditionalFormatting sqref="F124:L124">
    <cfRule type="cellIs" dxfId="361" priority="39" operator="equal">
      <formula>3</formula>
    </cfRule>
    <cfRule type="cellIs" dxfId="360" priority="41" operator="equal">
      <formula>1</formula>
    </cfRule>
    <cfRule type="cellIs" dxfId="359" priority="42" operator="equal">
      <formula>2</formula>
    </cfRule>
    <cfRule type="cellIs" dxfId="358" priority="43" operator="equal">
      <formula>4</formula>
    </cfRule>
    <cfRule type="colorScale" priority="44">
      <colorScale>
        <cfvo type="num" val="1"/>
        <cfvo type="num" val="2.2999999999999998"/>
        <cfvo type="num" val="4"/>
        <color rgb="FFFF9966"/>
        <color rgb="FFFFEB84"/>
        <color theme="8" tint="-0.249977111117893"/>
      </colorScale>
    </cfRule>
  </conditionalFormatting>
  <conditionalFormatting sqref="F124:L124">
    <cfRule type="cellIs" dxfId="357" priority="40" operator="equal">
      <formula>0</formula>
    </cfRule>
  </conditionalFormatting>
  <conditionalFormatting sqref="D124">
    <cfRule type="cellIs" dxfId="356" priority="37" operator="equal">
      <formula>0</formula>
    </cfRule>
    <cfRule type="colorScale" priority="38">
      <colorScale>
        <cfvo type="num" val="0.5"/>
        <cfvo type="num" val="0.8"/>
        <cfvo type="num" val="1"/>
        <color rgb="FFFF2F2F"/>
        <color rgb="FFFF9999"/>
        <color theme="8" tint="-0.249977111117893"/>
      </colorScale>
    </cfRule>
  </conditionalFormatting>
  <conditionalFormatting sqref="B122">
    <cfRule type="duplicateValues" dxfId="355" priority="51"/>
  </conditionalFormatting>
  <conditionalFormatting sqref="F128:K128">
    <cfRule type="cellIs" dxfId="354" priority="36" operator="equal">
      <formula>"Off"</formula>
    </cfRule>
  </conditionalFormatting>
  <conditionalFormatting sqref="L128">
    <cfRule type="cellIs" dxfId="353" priority="35" operator="equal">
      <formula>"Off"</formula>
    </cfRule>
  </conditionalFormatting>
  <conditionalFormatting sqref="F131">
    <cfRule type="cellIs" dxfId="352" priority="28" operator="equal">
      <formula>3</formula>
    </cfRule>
    <cfRule type="cellIs" dxfId="351" priority="30" operator="equal">
      <formula>1</formula>
    </cfRule>
    <cfRule type="cellIs" dxfId="350" priority="31" operator="equal">
      <formula>2</formula>
    </cfRule>
    <cfRule type="cellIs" dxfId="349" priority="32" operator="equal">
      <formula>4</formula>
    </cfRule>
    <cfRule type="colorScale" priority="33">
      <colorScale>
        <cfvo type="num" val="1"/>
        <cfvo type="num" val="2.2999999999999998"/>
        <cfvo type="num" val="4"/>
        <color rgb="FFFF9966"/>
        <color rgb="FFFFEB84"/>
        <color theme="8" tint="-0.249977111117893"/>
      </colorScale>
    </cfRule>
  </conditionalFormatting>
  <conditionalFormatting sqref="F131">
    <cfRule type="cellIs" dxfId="348" priority="29" operator="equal">
      <formula>0</formula>
    </cfRule>
  </conditionalFormatting>
  <conditionalFormatting sqref="F131:L131">
    <cfRule type="cellIs" dxfId="347" priority="22" operator="equal">
      <formula>3</formula>
    </cfRule>
    <cfRule type="cellIs" dxfId="346" priority="24" operator="equal">
      <formula>1</formula>
    </cfRule>
    <cfRule type="cellIs" dxfId="345" priority="25" operator="equal">
      <formula>2</formula>
    </cfRule>
    <cfRule type="cellIs" dxfId="344" priority="26" operator="equal">
      <formula>4</formula>
    </cfRule>
    <cfRule type="colorScale" priority="27">
      <colorScale>
        <cfvo type="num" val="1"/>
        <cfvo type="num" val="2.2999999999999998"/>
        <cfvo type="num" val="4"/>
        <color rgb="FFFF9966"/>
        <color rgb="FFFFEB84"/>
        <color theme="8" tint="-0.249977111117893"/>
      </colorScale>
    </cfRule>
  </conditionalFormatting>
  <conditionalFormatting sqref="F131:L131">
    <cfRule type="cellIs" dxfId="343" priority="23" operator="equal">
      <formula>0</formula>
    </cfRule>
  </conditionalFormatting>
  <conditionalFormatting sqref="D131">
    <cfRule type="cellIs" dxfId="342" priority="20" operator="equal">
      <formula>0</formula>
    </cfRule>
    <cfRule type="colorScale" priority="21">
      <colorScale>
        <cfvo type="num" val="0.5"/>
        <cfvo type="num" val="0.8"/>
        <cfvo type="num" val="1"/>
        <color rgb="FFFF2F2F"/>
        <color rgb="FFFF9999"/>
        <color theme="8" tint="-0.249977111117893"/>
      </colorScale>
    </cfRule>
  </conditionalFormatting>
  <conditionalFormatting sqref="B129">
    <cfRule type="duplicateValues" dxfId="341" priority="34"/>
  </conditionalFormatting>
  <conditionalFormatting sqref="F135:K135">
    <cfRule type="cellIs" dxfId="340" priority="19" operator="equal">
      <formula>"Off"</formula>
    </cfRule>
  </conditionalFormatting>
  <conditionalFormatting sqref="L135">
    <cfRule type="cellIs" dxfId="339" priority="18" operator="equal">
      <formula>"Off"</formula>
    </cfRule>
  </conditionalFormatting>
  <conditionalFormatting sqref="F138">
    <cfRule type="cellIs" dxfId="338" priority="12" operator="equal">
      <formula>3</formula>
    </cfRule>
    <cfRule type="cellIs" dxfId="337" priority="14" operator="equal">
      <formula>1</formula>
    </cfRule>
    <cfRule type="cellIs" dxfId="336" priority="15" operator="equal">
      <formula>2</formula>
    </cfRule>
    <cfRule type="cellIs" dxfId="335" priority="16" operator="equal">
      <formula>4</formula>
    </cfRule>
    <cfRule type="colorScale" priority="17">
      <colorScale>
        <cfvo type="num" val="1"/>
        <cfvo type="num" val="2.2999999999999998"/>
        <cfvo type="num" val="4"/>
        <color rgb="FFFF9966"/>
        <color rgb="FFFFEB84"/>
        <color theme="8" tint="-0.249977111117893"/>
      </colorScale>
    </cfRule>
  </conditionalFormatting>
  <conditionalFormatting sqref="F138">
    <cfRule type="cellIs" dxfId="334" priority="13" operator="equal">
      <formula>0</formula>
    </cfRule>
  </conditionalFormatting>
  <conditionalFormatting sqref="F138:L138">
    <cfRule type="cellIs" dxfId="333" priority="6" operator="equal">
      <formula>3</formula>
    </cfRule>
    <cfRule type="cellIs" dxfId="332" priority="8" operator="equal">
      <formula>1</formula>
    </cfRule>
    <cfRule type="cellIs" dxfId="331" priority="9" operator="equal">
      <formula>2</formula>
    </cfRule>
    <cfRule type="cellIs" dxfId="330" priority="10" operator="equal">
      <formula>4</formula>
    </cfRule>
    <cfRule type="colorScale" priority="11">
      <colorScale>
        <cfvo type="num" val="1"/>
        <cfvo type="num" val="2.2999999999999998"/>
        <cfvo type="num" val="4"/>
        <color rgb="FFFF9966"/>
        <color rgb="FFFFEB84"/>
        <color theme="8" tint="-0.249977111117893"/>
      </colorScale>
    </cfRule>
  </conditionalFormatting>
  <conditionalFormatting sqref="F138:L138">
    <cfRule type="cellIs" dxfId="329" priority="7" operator="equal">
      <formula>0</formula>
    </cfRule>
  </conditionalFormatting>
  <conditionalFormatting sqref="D138">
    <cfRule type="cellIs" dxfId="328" priority="4" operator="equal">
      <formula>0</formula>
    </cfRule>
    <cfRule type="colorScale" priority="5">
      <colorScale>
        <cfvo type="num" val="0.5"/>
        <cfvo type="num" val="0.8"/>
        <cfvo type="num" val="1"/>
        <color rgb="FFFF2F2F"/>
        <color rgb="FFFF9999"/>
        <color theme="8" tint="-0.249977111117893"/>
      </colorScale>
    </cfRule>
  </conditionalFormatting>
  <conditionalFormatting sqref="B136">
    <cfRule type="duplicateValues" dxfId="327" priority="3"/>
  </conditionalFormatting>
  <conditionalFormatting sqref="B136">
    <cfRule type="duplicateValues" dxfId="326" priority="2"/>
  </conditionalFormatting>
  <conditionalFormatting sqref="B31:C32 B38 B45 B52 B59 B66 B73 B80 B87 B94 B101 B108 B115 B122 B129 B136">
    <cfRule type="duplicateValues" dxfId="325" priority="1"/>
  </conditionalFormatting>
  <dataValidations count="5">
    <dataValidation type="list" allowBlank="1" showInputMessage="1" showErrorMessage="1" sqref="F118:L118 F132:L132 F34:L34 F41:L41 F48:L48 F55:L55 F62:L62 F69:L69 F76:L76 F83:L83 F90:L90 F97:L97 F104:L104 F111:L111 F125:L125 F139:L139" xr:uid="{4DF06015-4CA4-9B4A-9CCB-D85324254FE5}">
      <formula1>Details</formula1>
    </dataValidation>
    <dataValidation type="list" allowBlank="1" showInputMessage="1" showErrorMessage="1" prompt="Select One..." sqref="F109:L109 F53:L53 F116:L116 F39:L39 F123:L123 F32:L32 F46:L46 F60:L60 F67:L67 F74:L74 F81:L81 F88:L88 F95:L95 F102:L102 F130:L130 F137:L137" xr:uid="{44A97557-5A57-9246-B359-74592EF46756}">
      <formula1>List_Hrs</formula1>
    </dataValidation>
    <dataValidation type="list" allowBlank="1" showInputMessage="1" showErrorMessage="1" sqref="F9:L25 B80 B122 B87 B115 B31 B38 B45 B108 B52 B59 B66 B73 B94 B101 B129 B136" xr:uid="{12969F13-26B3-D14F-A810-0A315D6A9D98}">
      <formula1>List_Guard</formula1>
    </dataValidation>
    <dataValidation type="list" allowBlank="1" showInputMessage="1" showErrorMessage="1" sqref="D9:D25" xr:uid="{7F52ED16-B524-A44F-9C80-7E870B111389}">
      <formula1>Timer</formula1>
    </dataValidation>
    <dataValidation type="list" allowBlank="1" showInputMessage="1" showErrorMessage="1" prompt="Select One..." sqref="F115:L115 F73:L73 F80:L80 F66:L66 F38:L38 F122:L122 F31:L31 F45:L45 F101:L101 F52:L52 F108:L108 F59:L59 F87:L87 F94:L94 F129:L129 F136:L136" xr:uid="{1E0680D7-EC1A-F44B-BB46-49E4144C50FF}">
      <formula1>List_Eva</formula1>
    </dataValidation>
  </dataValidations>
  <hyperlinks>
    <hyperlink ref="H141" r:id="rId1" xr:uid="{5C2809F2-3050-44ED-BC29-94F591AF3B28}"/>
  </hyperlinks>
  <pageMargins left="0.7" right="0.7" top="0.94" bottom="0.7" header="0.3" footer="0.3"/>
  <pageSetup scale="72" fitToHeight="0" orientation="landscape" horizontalDpi="4294967292" r:id="rId2"/>
  <rowBreaks count="2" manualBreakCount="2">
    <brk id="27" max="16383" man="1"/>
    <brk id="90" max="12" man="1"/>
  </rowBreak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7">
    <tabColor theme="0" tint="-4.9989318521683403E-2"/>
    <pageSetUpPr fitToPage="1"/>
  </sheetPr>
  <dimension ref="B1:R37"/>
  <sheetViews>
    <sheetView showGridLines="0" zoomScale="90" zoomScaleNormal="90" zoomScaleSheetLayoutView="46" workbookViewId="0" xr3:uid="{F9CF3CF3-643B-5BE6-8B46-32C596A47465}">
      <pane xSplit="3" ySplit="8" topLeftCell="D30" activePane="bottomRight" state="frozen"/>
      <selection pane="bottomLeft" activeCell="A2" sqref="A2"/>
      <selection pane="topRight" activeCell="C1" sqref="C1"/>
      <selection pane="bottomRight" activeCell="A37" sqref="A37:XFD37"/>
    </sheetView>
  </sheetViews>
  <sheetFormatPr defaultColWidth="9.953125" defaultRowHeight="0" customHeight="1" zeroHeight="1" x14ac:dyDescent="0.25"/>
  <cols>
    <col min="1" max="1" width="2.04296875" customWidth="1"/>
    <col min="2" max="2" width="21.6796875" customWidth="1"/>
    <col min="3" max="3" width="12.26953125" style="1" customWidth="1"/>
    <col min="4" max="4" width="5.7265625" customWidth="1"/>
    <col min="5" max="5" width="10.90625" customWidth="1"/>
    <col min="6" max="6" width="5.7265625" customWidth="1"/>
    <col min="7" max="7" width="12.26953125" customWidth="1"/>
    <col min="8" max="8" width="5.7265625" customWidth="1"/>
    <col min="9" max="9" width="12.26953125" customWidth="1"/>
    <col min="10" max="10" width="5.7265625" customWidth="1"/>
    <col min="11" max="11" width="13.2265625" customWidth="1"/>
    <col min="12" max="12" width="5.7265625" customWidth="1"/>
    <col min="13" max="13" width="12.6796875" customWidth="1"/>
    <col min="14" max="14" width="5.7265625" customWidth="1"/>
    <col min="15" max="15" width="12.26953125" customWidth="1"/>
    <col min="16" max="16" width="5.7265625" customWidth="1"/>
    <col min="17" max="17" width="12.26953125" customWidth="1"/>
    <col min="18" max="18" width="2.7265625" customWidth="1"/>
  </cols>
  <sheetData>
    <row r="1" spans="2:17" ht="33" customHeight="1" x14ac:dyDescent="0.25">
      <c r="B1" s="19"/>
      <c r="C1" s="20"/>
      <c r="D1" s="19"/>
      <c r="E1" s="19"/>
      <c r="F1" s="19"/>
      <c r="G1" s="19"/>
      <c r="H1" s="19"/>
      <c r="I1" s="19"/>
      <c r="J1" s="19"/>
      <c r="K1" s="19"/>
      <c r="L1" s="19"/>
      <c r="M1" s="19"/>
      <c r="N1" s="19"/>
      <c r="O1" s="19"/>
      <c r="P1" s="19"/>
      <c r="Q1" s="19"/>
    </row>
    <row r="2" spans="2:17" ht="24.75" customHeight="1" x14ac:dyDescent="0.25">
      <c r="B2" s="56"/>
      <c r="C2" s="56"/>
      <c r="D2" s="355" t="s">
        <v>18</v>
      </c>
      <c r="E2" s="355"/>
      <c r="F2" s="355"/>
      <c r="G2" s="355"/>
      <c r="H2" s="56"/>
      <c r="I2" s="56"/>
      <c r="J2" s="56"/>
      <c r="K2" s="56" t="s">
        <v>17</v>
      </c>
      <c r="L2" s="295">
        <f>IF((D8),D8," ")</f>
        <v>43240</v>
      </c>
      <c r="M2" s="295"/>
      <c r="N2" s="312" t="s">
        <v>16</v>
      </c>
      <c r="O2" s="312"/>
      <c r="P2" s="295">
        <f>P8</f>
        <v>43246</v>
      </c>
      <c r="Q2" s="295"/>
    </row>
    <row r="3" spans="2:17" ht="15.75" x14ac:dyDescent="0.25">
      <c r="B3" s="56"/>
      <c r="C3" s="56"/>
      <c r="D3" s="56"/>
      <c r="E3" s="56"/>
      <c r="F3" s="56"/>
      <c r="G3" s="56"/>
      <c r="H3" s="56"/>
      <c r="I3" s="56"/>
      <c r="J3" s="56"/>
      <c r="K3" s="56"/>
      <c r="L3" s="55"/>
      <c r="M3" s="55"/>
      <c r="N3" s="54"/>
      <c r="O3" s="54"/>
      <c r="P3" s="55"/>
      <c r="Q3" s="55"/>
    </row>
    <row r="4" spans="2:17" ht="21" x14ac:dyDescent="0.25">
      <c r="B4" s="56" t="s">
        <v>13</v>
      </c>
      <c r="C4" s="56">
        <f>Employeed!C38</f>
        <v>60029</v>
      </c>
      <c r="D4" s="356" t="s">
        <v>15</v>
      </c>
      <c r="E4" s="356"/>
      <c r="F4" s="356"/>
      <c r="G4" s="356"/>
      <c r="H4" s="294" t="s">
        <v>14</v>
      </c>
      <c r="I4" s="294"/>
      <c r="J4" s="294"/>
      <c r="K4" s="56"/>
      <c r="L4" s="56"/>
      <c r="M4" s="56"/>
      <c r="N4" s="56"/>
      <c r="O4" s="56"/>
      <c r="P4" s="56"/>
      <c r="Q4" s="56"/>
    </row>
    <row r="5" spans="2:17" ht="15.75" x14ac:dyDescent="0.25">
      <c r="B5" s="56" t="s">
        <v>13</v>
      </c>
      <c r="C5" s="56">
        <f>Employeed!D1</f>
        <v>3502</v>
      </c>
      <c r="D5" s="313"/>
      <c r="E5" s="313"/>
      <c r="F5" s="313"/>
      <c r="G5" s="313"/>
      <c r="H5" s="294" t="s">
        <v>12</v>
      </c>
      <c r="I5" s="294"/>
      <c r="J5" s="294"/>
      <c r="K5" s="316" t="str">
        <f>Employeed!C39</f>
        <v>(505) 344-1900</v>
      </c>
      <c r="L5" s="316"/>
      <c r="M5" s="24"/>
      <c r="N5" s="56"/>
      <c r="O5" s="56"/>
      <c r="P5" s="56"/>
      <c r="Q5" s="56"/>
    </row>
    <row r="6" spans="2:17" ht="12" customHeight="1" x14ac:dyDescent="0.25">
      <c r="B6" s="56"/>
      <c r="C6" s="56"/>
      <c r="D6" s="57"/>
      <c r="E6" s="57"/>
      <c r="F6" s="57"/>
      <c r="G6" s="57"/>
      <c r="H6" s="56"/>
      <c r="I6" s="56"/>
      <c r="J6" s="56"/>
      <c r="K6" s="26"/>
      <c r="L6" s="26"/>
      <c r="M6" s="26"/>
      <c r="N6" s="56"/>
      <c r="O6" s="56"/>
      <c r="P6" s="56"/>
      <c r="Q6" s="56"/>
    </row>
    <row r="7" spans="2:17" ht="16.5" customHeight="1" x14ac:dyDescent="0.25">
      <c r="B7" s="314" t="s">
        <v>30</v>
      </c>
      <c r="C7" s="314" t="s">
        <v>31</v>
      </c>
      <c r="D7" s="317" t="s">
        <v>10</v>
      </c>
      <c r="E7" s="318"/>
      <c r="F7" s="319" t="s">
        <v>9</v>
      </c>
      <c r="G7" s="320"/>
      <c r="H7" s="321" t="s">
        <v>8</v>
      </c>
      <c r="I7" s="322"/>
      <c r="J7" s="323" t="s">
        <v>7</v>
      </c>
      <c r="K7" s="324"/>
      <c r="L7" s="325" t="s">
        <v>6</v>
      </c>
      <c r="M7" s="326"/>
      <c r="N7" s="327" t="s">
        <v>5</v>
      </c>
      <c r="O7" s="328"/>
      <c r="P7" s="306" t="s">
        <v>4</v>
      </c>
      <c r="Q7" s="307"/>
    </row>
    <row r="8" spans="2:17" s="2" customFormat="1" ht="16.5" customHeight="1" x14ac:dyDescent="0.25">
      <c r="B8" s="315"/>
      <c r="C8" s="315"/>
      <c r="D8" s="296">
        <v>43240</v>
      </c>
      <c r="E8" s="297"/>
      <c r="F8" s="298">
        <f>IF($D$8,$D$8+1," ")</f>
        <v>43241</v>
      </c>
      <c r="G8" s="299"/>
      <c r="H8" s="300">
        <f>IF($D$8,$D$8+2," ")</f>
        <v>43242</v>
      </c>
      <c r="I8" s="301"/>
      <c r="J8" s="302">
        <f>IF($D$8,$D$8+3," ")</f>
        <v>43243</v>
      </c>
      <c r="K8" s="303"/>
      <c r="L8" s="304">
        <f>IF($D$8,$D$8+4," ")</f>
        <v>43244</v>
      </c>
      <c r="M8" s="305"/>
      <c r="N8" s="284">
        <f>IF($D$8,$D$8+5," ")</f>
        <v>43245</v>
      </c>
      <c r="O8" s="285"/>
      <c r="P8" s="286">
        <f>IF($D$8,$D$8+6," ")</f>
        <v>43246</v>
      </c>
      <c r="Q8" s="287"/>
    </row>
    <row r="9" spans="2:17" ht="26.25" customHeight="1" x14ac:dyDescent="0.25">
      <c r="B9" s="4">
        <f>$C$5</f>
        <v>3502</v>
      </c>
      <c r="C9" s="8" t="s">
        <v>0</v>
      </c>
      <c r="D9" s="288"/>
      <c r="E9" s="289"/>
      <c r="F9" s="288" t="s">
        <v>37</v>
      </c>
      <c r="G9" s="289"/>
      <c r="H9" s="288" t="s">
        <v>53</v>
      </c>
      <c r="I9" s="289"/>
      <c r="J9" s="288" t="s">
        <v>53</v>
      </c>
      <c r="K9" s="289"/>
      <c r="L9" s="288" t="s">
        <v>53</v>
      </c>
      <c r="M9" s="289"/>
      <c r="N9" s="288" t="s">
        <v>38</v>
      </c>
      <c r="O9" s="289"/>
      <c r="P9" s="288" t="s">
        <v>38</v>
      </c>
      <c r="Q9" s="289"/>
    </row>
    <row r="10" spans="2:17" ht="26.25" customHeight="1" x14ac:dyDescent="0.25">
      <c r="B10" s="308" t="s">
        <v>3</v>
      </c>
      <c r="C10" s="8" t="s">
        <v>23</v>
      </c>
      <c r="D10" s="288" t="s">
        <v>38</v>
      </c>
      <c r="E10" s="289"/>
      <c r="F10" s="288"/>
      <c r="G10" s="289"/>
      <c r="H10" s="288"/>
      <c r="I10" s="289"/>
      <c r="J10" s="288"/>
      <c r="K10" s="289"/>
      <c r="L10" s="288"/>
      <c r="M10" s="289"/>
      <c r="N10" s="288"/>
      <c r="O10" s="289"/>
      <c r="P10" s="288"/>
      <c r="Q10" s="289"/>
    </row>
    <row r="11" spans="2:17" ht="26.25" customHeight="1" x14ac:dyDescent="0.25">
      <c r="B11" s="309"/>
      <c r="C11" s="8" t="s">
        <v>1</v>
      </c>
      <c r="D11" s="288"/>
      <c r="E11" s="289"/>
      <c r="F11" s="288" t="s">
        <v>39</v>
      </c>
      <c r="G11" s="289"/>
      <c r="H11" s="288" t="s">
        <v>40</v>
      </c>
      <c r="I11" s="289"/>
      <c r="J11" s="288" t="s">
        <v>38</v>
      </c>
      <c r="K11" s="289"/>
      <c r="L11" s="288" t="s">
        <v>42</v>
      </c>
      <c r="M11" s="289"/>
      <c r="N11" s="288" t="s">
        <v>42</v>
      </c>
      <c r="O11" s="289"/>
      <c r="P11" s="288" t="s">
        <v>43</v>
      </c>
      <c r="Q11" s="289"/>
    </row>
    <row r="12" spans="2:17" ht="26.25" customHeight="1" x14ac:dyDescent="0.25">
      <c r="B12" s="4">
        <f>$C$5</f>
        <v>3502</v>
      </c>
      <c r="C12" s="8" t="s">
        <v>0</v>
      </c>
      <c r="D12" s="288"/>
      <c r="E12" s="289"/>
      <c r="F12" s="288" t="s">
        <v>44</v>
      </c>
      <c r="G12" s="289"/>
      <c r="H12" s="288" t="s">
        <v>44</v>
      </c>
      <c r="I12" s="289"/>
      <c r="J12" s="288" t="s">
        <v>45</v>
      </c>
      <c r="K12" s="289"/>
      <c r="L12" s="288" t="s">
        <v>44</v>
      </c>
      <c r="M12" s="289"/>
      <c r="N12" s="288" t="s">
        <v>44</v>
      </c>
      <c r="O12" s="289"/>
      <c r="P12" s="288" t="s">
        <v>44</v>
      </c>
      <c r="Q12" s="289"/>
    </row>
    <row r="13" spans="2:17" ht="26.25" customHeight="1" x14ac:dyDescent="0.25">
      <c r="B13" s="308" t="s">
        <v>22</v>
      </c>
      <c r="C13" s="8" t="s">
        <v>23</v>
      </c>
      <c r="D13" s="288" t="s">
        <v>45</v>
      </c>
      <c r="E13" s="289"/>
      <c r="F13" s="288"/>
      <c r="G13" s="289"/>
      <c r="H13" s="288"/>
      <c r="I13" s="289"/>
      <c r="J13" s="288"/>
      <c r="K13" s="289"/>
      <c r="L13" s="288"/>
      <c r="M13" s="289"/>
      <c r="N13" s="288"/>
      <c r="O13" s="289"/>
      <c r="P13" s="288"/>
      <c r="Q13" s="289"/>
    </row>
    <row r="14" spans="2:17" ht="26.25" customHeight="1" x14ac:dyDescent="0.25">
      <c r="B14" s="309"/>
      <c r="C14" s="8" t="s">
        <v>1</v>
      </c>
      <c r="D14" s="288"/>
      <c r="E14" s="289"/>
      <c r="F14" s="288" t="s">
        <v>41</v>
      </c>
      <c r="G14" s="289"/>
      <c r="H14" s="288" t="s">
        <v>67</v>
      </c>
      <c r="I14" s="289"/>
      <c r="J14" s="288" t="s">
        <v>39</v>
      </c>
      <c r="K14" s="289"/>
      <c r="L14" s="288" t="s">
        <v>71</v>
      </c>
      <c r="M14" s="289"/>
      <c r="N14" s="288" t="s">
        <v>43</v>
      </c>
      <c r="O14" s="289"/>
      <c r="P14" s="288" t="s">
        <v>58</v>
      </c>
      <c r="Q14" s="289"/>
    </row>
    <row r="15" spans="2:17" ht="26.25" customHeight="1" x14ac:dyDescent="0.25">
      <c r="B15" s="4">
        <f>$C$5</f>
        <v>3502</v>
      </c>
      <c r="C15" s="8" t="s">
        <v>32</v>
      </c>
      <c r="D15" s="288" t="s">
        <v>42</v>
      </c>
      <c r="E15" s="289"/>
      <c r="F15" s="288" t="s">
        <v>45</v>
      </c>
      <c r="G15" s="289"/>
      <c r="H15" s="288"/>
      <c r="I15" s="289"/>
      <c r="J15" s="288"/>
      <c r="K15" s="289"/>
      <c r="L15" s="288"/>
      <c r="M15" s="289"/>
      <c r="N15" s="288" t="s">
        <v>50</v>
      </c>
      <c r="O15" s="289"/>
      <c r="P15" s="288" t="s">
        <v>48</v>
      </c>
      <c r="Q15" s="289"/>
    </row>
    <row r="16" spans="2:17" ht="26.25" customHeight="1" x14ac:dyDescent="0.25">
      <c r="B16" s="308" t="s">
        <v>24</v>
      </c>
      <c r="C16" s="8" t="s">
        <v>27</v>
      </c>
      <c r="D16" s="288" t="s">
        <v>49</v>
      </c>
      <c r="E16" s="289"/>
      <c r="F16" s="288" t="s">
        <v>49</v>
      </c>
      <c r="G16" s="289"/>
      <c r="H16" s="288" t="s">
        <v>58</v>
      </c>
      <c r="I16" s="289"/>
      <c r="J16" s="288" t="s">
        <v>58</v>
      </c>
      <c r="K16" s="289"/>
      <c r="L16" s="288" t="s">
        <v>38</v>
      </c>
      <c r="M16" s="289"/>
      <c r="N16" s="288" t="s">
        <v>49</v>
      </c>
      <c r="O16" s="289"/>
      <c r="P16" s="288" t="s">
        <v>49</v>
      </c>
      <c r="Q16" s="289"/>
    </row>
    <row r="17" spans="2:18" ht="26.25" customHeight="1" x14ac:dyDescent="0.25">
      <c r="B17" s="309"/>
      <c r="C17" s="8" t="s">
        <v>25</v>
      </c>
      <c r="D17" s="288" t="s">
        <v>43</v>
      </c>
      <c r="E17" s="289"/>
      <c r="F17" s="288" t="s">
        <v>42</v>
      </c>
      <c r="G17" s="289"/>
      <c r="H17" s="288"/>
      <c r="I17" s="289"/>
      <c r="J17" s="288"/>
      <c r="K17" s="289"/>
      <c r="L17" s="288"/>
      <c r="M17" s="289"/>
      <c r="N17" s="288" t="s">
        <v>41</v>
      </c>
      <c r="O17" s="289"/>
      <c r="P17" s="288" t="s">
        <v>50</v>
      </c>
      <c r="Q17" s="289"/>
    </row>
    <row r="18" spans="2:18" ht="15.75" x14ac:dyDescent="0.25">
      <c r="B18" s="4">
        <f>$C$5</f>
        <v>3502</v>
      </c>
      <c r="C18" s="310" t="s">
        <v>36</v>
      </c>
      <c r="D18" s="290" t="s">
        <v>39</v>
      </c>
      <c r="E18" s="291"/>
      <c r="F18" s="290"/>
      <c r="G18" s="291"/>
      <c r="H18" s="290"/>
      <c r="I18" s="291"/>
      <c r="J18" s="290"/>
      <c r="K18" s="291"/>
      <c r="L18" s="290"/>
      <c r="M18" s="291"/>
      <c r="N18" s="290"/>
      <c r="O18" s="291"/>
      <c r="P18" s="290" t="s">
        <v>40</v>
      </c>
      <c r="Q18" s="291"/>
    </row>
    <row r="19" spans="2:18" ht="15.75" x14ac:dyDescent="0.25">
      <c r="B19" s="53" t="s">
        <v>26</v>
      </c>
      <c r="C19" s="311"/>
      <c r="D19" s="292"/>
      <c r="E19" s="293"/>
      <c r="F19" s="292"/>
      <c r="G19" s="293"/>
      <c r="H19" s="292"/>
      <c r="I19" s="293"/>
      <c r="J19" s="292"/>
      <c r="K19" s="293"/>
      <c r="L19" s="292"/>
      <c r="M19" s="293"/>
      <c r="N19" s="292"/>
      <c r="O19" s="293"/>
      <c r="P19" s="292"/>
      <c r="Q19" s="293"/>
      <c r="R19" s="5"/>
    </row>
    <row r="20" spans="2:18" ht="26.25" customHeight="1" x14ac:dyDescent="0.25">
      <c r="B20" s="4">
        <f>$C$5</f>
        <v>3502</v>
      </c>
      <c r="C20" s="8" t="s">
        <v>0</v>
      </c>
      <c r="D20" s="288"/>
      <c r="E20" s="289"/>
      <c r="F20" s="288" t="s">
        <v>67</v>
      </c>
      <c r="G20" s="289"/>
      <c r="H20" s="288" t="s">
        <v>45</v>
      </c>
      <c r="I20" s="289"/>
      <c r="J20" s="288" t="s">
        <v>37</v>
      </c>
      <c r="K20" s="289"/>
      <c r="L20" s="288" t="s">
        <v>37</v>
      </c>
      <c r="M20" s="289"/>
      <c r="N20" s="288" t="s">
        <v>53</v>
      </c>
      <c r="O20" s="289"/>
      <c r="P20" s="288" t="s">
        <v>39</v>
      </c>
      <c r="Q20" s="289"/>
    </row>
    <row r="21" spans="2:18" ht="26.25" customHeight="1" x14ac:dyDescent="0.25">
      <c r="B21" s="308" t="s">
        <v>33</v>
      </c>
      <c r="C21" s="8" t="s">
        <v>23</v>
      </c>
      <c r="D21" s="288" t="s">
        <v>41</v>
      </c>
      <c r="E21" s="289"/>
      <c r="F21" s="288"/>
      <c r="G21" s="289"/>
      <c r="H21" s="288"/>
      <c r="I21" s="289"/>
      <c r="J21" s="288"/>
      <c r="K21" s="289"/>
      <c r="L21" s="288"/>
      <c r="M21" s="289"/>
      <c r="N21" s="288"/>
      <c r="O21" s="289"/>
      <c r="P21" s="288"/>
      <c r="Q21" s="289"/>
    </row>
    <row r="22" spans="2:18" ht="26.25" customHeight="1" x14ac:dyDescent="0.25">
      <c r="B22" s="308"/>
      <c r="C22" s="8" t="s">
        <v>68</v>
      </c>
      <c r="D22" s="288"/>
      <c r="E22" s="289"/>
      <c r="F22" s="288"/>
      <c r="G22" s="289"/>
      <c r="H22" s="288"/>
      <c r="I22" s="289"/>
      <c r="J22" s="288"/>
      <c r="K22" s="289"/>
      <c r="L22" s="288"/>
      <c r="M22" s="289"/>
      <c r="N22" s="288" t="s">
        <v>67</v>
      </c>
      <c r="O22" s="289"/>
      <c r="P22" s="288"/>
      <c r="Q22" s="289"/>
    </row>
    <row r="23" spans="2:18" ht="26.25" customHeight="1" x14ac:dyDescent="0.25">
      <c r="B23" s="308"/>
      <c r="C23" s="8" t="s">
        <v>1</v>
      </c>
      <c r="D23" s="288"/>
      <c r="E23" s="289"/>
      <c r="F23" s="288"/>
      <c r="G23" s="289"/>
      <c r="H23" s="288" t="s">
        <v>39</v>
      </c>
      <c r="I23" s="289"/>
      <c r="J23" s="288" t="s">
        <v>40</v>
      </c>
      <c r="K23" s="289"/>
      <c r="L23" s="288" t="s">
        <v>39</v>
      </c>
      <c r="M23" s="289"/>
      <c r="N23" s="288" t="s">
        <v>49</v>
      </c>
      <c r="O23" s="289"/>
      <c r="P23" s="288" t="s">
        <v>42</v>
      </c>
      <c r="Q23" s="289"/>
    </row>
    <row r="24" spans="2:18" ht="26.25" customHeight="1" x14ac:dyDescent="0.25">
      <c r="B24" s="309"/>
      <c r="C24" s="8" t="s">
        <v>69</v>
      </c>
      <c r="D24" s="288"/>
      <c r="E24" s="289"/>
      <c r="F24" s="288" t="s">
        <v>43</v>
      </c>
      <c r="G24" s="289"/>
      <c r="H24" s="288"/>
      <c r="I24" s="289"/>
      <c r="J24" s="288"/>
      <c r="K24" s="289"/>
      <c r="L24" s="288"/>
      <c r="M24" s="289"/>
      <c r="N24" s="288" t="s">
        <v>40</v>
      </c>
      <c r="O24" s="289"/>
      <c r="P24" s="288"/>
      <c r="Q24" s="289"/>
    </row>
    <row r="25" spans="2:18" ht="26.25" customHeight="1" x14ac:dyDescent="0.25">
      <c r="B25" s="4">
        <f>$C$5</f>
        <v>3502</v>
      </c>
      <c r="C25" s="8" t="s">
        <v>0</v>
      </c>
      <c r="D25" s="288"/>
      <c r="E25" s="289"/>
      <c r="F25" s="288" t="s">
        <v>48</v>
      </c>
      <c r="G25" s="289"/>
      <c r="H25" s="288" t="s">
        <v>37</v>
      </c>
      <c r="I25" s="289"/>
      <c r="J25" s="288" t="s">
        <v>48</v>
      </c>
      <c r="K25" s="289"/>
      <c r="L25" s="288" t="s">
        <v>48</v>
      </c>
      <c r="M25" s="289"/>
      <c r="N25" s="288" t="s">
        <v>48</v>
      </c>
      <c r="O25" s="289"/>
      <c r="P25" s="288" t="s">
        <v>37</v>
      </c>
      <c r="Q25" s="289"/>
    </row>
    <row r="26" spans="2:18" ht="26.25" customHeight="1" x14ac:dyDescent="0.25">
      <c r="B26" s="308" t="s">
        <v>70</v>
      </c>
      <c r="C26" s="8" t="s">
        <v>23</v>
      </c>
      <c r="D26" s="288" t="s">
        <v>40</v>
      </c>
      <c r="E26" s="289"/>
      <c r="F26" s="288"/>
      <c r="G26" s="289"/>
      <c r="H26" s="288"/>
      <c r="I26" s="289"/>
      <c r="J26" s="288"/>
      <c r="K26" s="289"/>
      <c r="L26" s="288"/>
      <c r="M26" s="289"/>
      <c r="N26" s="288"/>
      <c r="O26" s="289"/>
      <c r="P26" s="288"/>
      <c r="Q26" s="289"/>
    </row>
    <row r="27" spans="2:18" ht="26.25" customHeight="1" x14ac:dyDescent="0.25">
      <c r="B27" s="309"/>
      <c r="C27" s="8" t="s">
        <v>1</v>
      </c>
      <c r="D27" s="288"/>
      <c r="E27" s="289"/>
      <c r="F27" s="288" t="s">
        <v>40</v>
      </c>
      <c r="G27" s="289"/>
      <c r="H27" s="288" t="s">
        <v>43</v>
      </c>
      <c r="I27" s="289"/>
      <c r="J27" s="288" t="s">
        <v>71</v>
      </c>
      <c r="K27" s="289"/>
      <c r="L27" s="288" t="s">
        <v>41</v>
      </c>
      <c r="M27" s="289"/>
      <c r="N27" s="288" t="s">
        <v>71</v>
      </c>
      <c r="O27" s="289"/>
      <c r="P27" s="288" t="s">
        <v>41</v>
      </c>
      <c r="Q27" s="289"/>
    </row>
    <row r="28" spans="2:18" ht="26.25" customHeight="1" x14ac:dyDescent="0.25">
      <c r="B28" s="6" t="s">
        <v>34</v>
      </c>
      <c r="C28" s="310" t="s">
        <v>29</v>
      </c>
      <c r="D28" s="290" t="s">
        <v>51</v>
      </c>
      <c r="E28" s="291"/>
      <c r="F28" s="290" t="s">
        <v>49</v>
      </c>
      <c r="G28" s="291"/>
      <c r="H28" s="290" t="s">
        <v>49</v>
      </c>
      <c r="I28" s="291"/>
      <c r="J28" s="290" t="s">
        <v>51</v>
      </c>
      <c r="K28" s="291"/>
      <c r="L28" s="290" t="s">
        <v>51</v>
      </c>
      <c r="M28" s="291"/>
      <c r="N28" s="290" t="s">
        <v>51</v>
      </c>
      <c r="O28" s="291"/>
      <c r="P28" s="290" t="s">
        <v>51</v>
      </c>
      <c r="Q28" s="291"/>
    </row>
    <row r="29" spans="2:18" ht="26.25" customHeight="1" x14ac:dyDescent="0.25">
      <c r="B29" s="53" t="s">
        <v>35</v>
      </c>
      <c r="C29" s="311"/>
      <c r="D29" s="292"/>
      <c r="E29" s="293"/>
      <c r="F29" s="292"/>
      <c r="G29" s="293"/>
      <c r="H29" s="292"/>
      <c r="I29" s="293"/>
      <c r="J29" s="292"/>
      <c r="K29" s="293"/>
      <c r="L29" s="292"/>
      <c r="M29" s="293"/>
      <c r="N29" s="292"/>
      <c r="O29" s="293"/>
      <c r="P29" s="292"/>
      <c r="Q29" s="293"/>
    </row>
    <row r="30" spans="2:18" ht="15.75" x14ac:dyDescent="0.25"/>
    <row r="31" spans="2:18" ht="15.75" hidden="1" x14ac:dyDescent="0.25"/>
    <row r="32" spans="2:18" ht="15.75" hidden="1" x14ac:dyDescent="0.25"/>
    <row r="33" spans="2:13" ht="15.75" hidden="1" x14ac:dyDescent="0.25"/>
    <row r="34" spans="2:13" ht="15.75" hidden="1" x14ac:dyDescent="0.25"/>
    <row r="35" spans="2:13" ht="16.5" customHeight="1" x14ac:dyDescent="0.25"/>
    <row r="36" spans="2:13" ht="16.5" customHeight="1" x14ac:dyDescent="0.25"/>
    <row r="37" spans="2:13" s="19" customFormat="1" ht="16.5" customHeight="1" x14ac:dyDescent="0.25">
      <c r="B37" s="199" t="s">
        <v>115</v>
      </c>
      <c r="C37" s="196" t="s">
        <v>116</v>
      </c>
      <c r="D37" s="196"/>
      <c r="E37" s="196"/>
      <c r="F37" s="196"/>
      <c r="G37" s="196"/>
      <c r="H37" s="373" t="s">
        <v>125</v>
      </c>
      <c r="I37" s="373"/>
      <c r="J37" s="219" t="s">
        <v>126</v>
      </c>
      <c r="K37" s="198" t="s">
        <v>113</v>
      </c>
      <c r="L37" s="197" t="s">
        <v>114</v>
      </c>
      <c r="M37" s="196"/>
    </row>
  </sheetData>
  <mergeCells count="166">
    <mergeCell ref="H37:I37"/>
    <mergeCell ref="N28:O29"/>
    <mergeCell ref="P28:Q29"/>
    <mergeCell ref="C28:C29"/>
    <mergeCell ref="D28:E29"/>
    <mergeCell ref="F28:G29"/>
    <mergeCell ref="H28:I29"/>
    <mergeCell ref="J28:K29"/>
    <mergeCell ref="L28:M29"/>
    <mergeCell ref="F27:G27"/>
    <mergeCell ref="H27:I27"/>
    <mergeCell ref="J27:K27"/>
    <mergeCell ref="L27:M27"/>
    <mergeCell ref="N27:O27"/>
    <mergeCell ref="P27:Q27"/>
    <mergeCell ref="P25:Q25"/>
    <mergeCell ref="B26:B27"/>
    <mergeCell ref="D26:E26"/>
    <mergeCell ref="F26:G26"/>
    <mergeCell ref="H26:I26"/>
    <mergeCell ref="J26:K26"/>
    <mergeCell ref="L26:M26"/>
    <mergeCell ref="N26:O26"/>
    <mergeCell ref="P26:Q26"/>
    <mergeCell ref="D27:E27"/>
    <mergeCell ref="D25:E25"/>
    <mergeCell ref="F25:G25"/>
    <mergeCell ref="H25:I25"/>
    <mergeCell ref="J25:K25"/>
    <mergeCell ref="L25:M25"/>
    <mergeCell ref="N25:O25"/>
    <mergeCell ref="N23:O23"/>
    <mergeCell ref="P23:Q23"/>
    <mergeCell ref="D24:E24"/>
    <mergeCell ref="F24:G24"/>
    <mergeCell ref="H24:I24"/>
    <mergeCell ref="J24:K24"/>
    <mergeCell ref="L24:M24"/>
    <mergeCell ref="N24:O24"/>
    <mergeCell ref="P24:Q24"/>
    <mergeCell ref="N21:O21"/>
    <mergeCell ref="P21:Q21"/>
    <mergeCell ref="D22:E22"/>
    <mergeCell ref="F22:G22"/>
    <mergeCell ref="H22:I22"/>
    <mergeCell ref="J22:K22"/>
    <mergeCell ref="L22:M22"/>
    <mergeCell ref="N22:O22"/>
    <mergeCell ref="P22:Q22"/>
    <mergeCell ref="B21:B24"/>
    <mergeCell ref="D21:E21"/>
    <mergeCell ref="F21:G21"/>
    <mergeCell ref="H21:I21"/>
    <mergeCell ref="J21:K21"/>
    <mergeCell ref="L21:M21"/>
    <mergeCell ref="D23:E23"/>
    <mergeCell ref="F23:G23"/>
    <mergeCell ref="H23:I23"/>
    <mergeCell ref="J23:K23"/>
    <mergeCell ref="L23:M23"/>
    <mergeCell ref="N18:O19"/>
    <mergeCell ref="P18:Q19"/>
    <mergeCell ref="D20:E20"/>
    <mergeCell ref="F20:G20"/>
    <mergeCell ref="H20:I20"/>
    <mergeCell ref="J20:K20"/>
    <mergeCell ref="L20:M20"/>
    <mergeCell ref="N20:O20"/>
    <mergeCell ref="P20:Q20"/>
    <mergeCell ref="C18:C19"/>
    <mergeCell ref="D18:E19"/>
    <mergeCell ref="F18:G19"/>
    <mergeCell ref="H18:I19"/>
    <mergeCell ref="J18:K19"/>
    <mergeCell ref="L18:M19"/>
    <mergeCell ref="F17:G17"/>
    <mergeCell ref="H17:I17"/>
    <mergeCell ref="J17:K17"/>
    <mergeCell ref="L17:M17"/>
    <mergeCell ref="N17:O17"/>
    <mergeCell ref="P17:Q17"/>
    <mergeCell ref="P15:Q15"/>
    <mergeCell ref="B16:B17"/>
    <mergeCell ref="D16:E16"/>
    <mergeCell ref="F16:G16"/>
    <mergeCell ref="H16:I16"/>
    <mergeCell ref="J16:K16"/>
    <mergeCell ref="L16:M16"/>
    <mergeCell ref="N16:O16"/>
    <mergeCell ref="P16:Q16"/>
    <mergeCell ref="D17:E17"/>
    <mergeCell ref="D15:E15"/>
    <mergeCell ref="F15:G15"/>
    <mergeCell ref="H15:I15"/>
    <mergeCell ref="J15:K15"/>
    <mergeCell ref="L15:M15"/>
    <mergeCell ref="N15:O15"/>
    <mergeCell ref="F14:G14"/>
    <mergeCell ref="H14:I14"/>
    <mergeCell ref="J14:K14"/>
    <mergeCell ref="L14:M14"/>
    <mergeCell ref="N14:O14"/>
    <mergeCell ref="P14:Q14"/>
    <mergeCell ref="P12:Q12"/>
    <mergeCell ref="B13:B14"/>
    <mergeCell ref="D13:E13"/>
    <mergeCell ref="F13:G13"/>
    <mergeCell ref="H13:I13"/>
    <mergeCell ref="J13:K13"/>
    <mergeCell ref="L13:M13"/>
    <mergeCell ref="N13:O13"/>
    <mergeCell ref="P13:Q13"/>
    <mergeCell ref="D14:E14"/>
    <mergeCell ref="D12:E12"/>
    <mergeCell ref="F12:G12"/>
    <mergeCell ref="H12:I12"/>
    <mergeCell ref="J12:K12"/>
    <mergeCell ref="L12:M12"/>
    <mergeCell ref="N12:O12"/>
    <mergeCell ref="F11:G11"/>
    <mergeCell ref="H11:I11"/>
    <mergeCell ref="J11:K11"/>
    <mergeCell ref="L11:M11"/>
    <mergeCell ref="N11:O11"/>
    <mergeCell ref="P11:Q11"/>
    <mergeCell ref="P9:Q9"/>
    <mergeCell ref="B10:B11"/>
    <mergeCell ref="D10:E10"/>
    <mergeCell ref="F10:G10"/>
    <mergeCell ref="H10:I10"/>
    <mergeCell ref="J10:K10"/>
    <mergeCell ref="L10:M10"/>
    <mergeCell ref="N10:O10"/>
    <mergeCell ref="P10:Q10"/>
    <mergeCell ref="D11:E11"/>
    <mergeCell ref="D9:E9"/>
    <mergeCell ref="F9:G9"/>
    <mergeCell ref="H9:I9"/>
    <mergeCell ref="J9:K9"/>
    <mergeCell ref="L9:M9"/>
    <mergeCell ref="N9:O9"/>
    <mergeCell ref="B7:B8"/>
    <mergeCell ref="C7:C8"/>
    <mergeCell ref="D7:E7"/>
    <mergeCell ref="F7:G7"/>
    <mergeCell ref="H7:I7"/>
    <mergeCell ref="J7:K7"/>
    <mergeCell ref="L7:M7"/>
    <mergeCell ref="N7:O7"/>
    <mergeCell ref="P7:Q7"/>
    <mergeCell ref="D8:E8"/>
    <mergeCell ref="F8:G8"/>
    <mergeCell ref="H8:I8"/>
    <mergeCell ref="J8:K8"/>
    <mergeCell ref="L8:M8"/>
    <mergeCell ref="N8:O8"/>
    <mergeCell ref="P8:Q8"/>
    <mergeCell ref="D2:G2"/>
    <mergeCell ref="L2:M2"/>
    <mergeCell ref="N2:O2"/>
    <mergeCell ref="P2:Q2"/>
    <mergeCell ref="D4:G4"/>
    <mergeCell ref="H4:J4"/>
    <mergeCell ref="D5:G5"/>
    <mergeCell ref="H5:J5"/>
    <mergeCell ref="K5:L5"/>
  </mergeCells>
  <dataValidations count="2">
    <dataValidation type="list" allowBlank="1" showInputMessage="1" showErrorMessage="1" sqref="D9:Q29" xr:uid="{00000000-0002-0000-0400-000000000000}">
      <formula1>List_Guard</formula1>
    </dataValidation>
    <dataValidation type="list" allowBlank="1" showInputMessage="1" showErrorMessage="1" sqref="C9:C29" xr:uid="{00000000-0002-0000-0400-000001000000}">
      <formula1>Timer</formula1>
    </dataValidation>
  </dataValidations>
  <hyperlinks>
    <hyperlink ref="H37" r:id="rId1" xr:uid="{E6386CC0-ED0D-4751-B461-BFDEC1391A96}"/>
  </hyperlinks>
  <pageMargins left="0.64" right="0.52" top="0.75" bottom="0.59" header="0.3" footer="0.3"/>
  <pageSetup scale="74" orientation="landscape" horizontalDpi="4294967292"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tabColor theme="8" tint="0.79998168889431442"/>
    <pageSetUpPr fitToPage="1"/>
  </sheetPr>
  <dimension ref="B1:R37"/>
  <sheetViews>
    <sheetView showGridLines="0" zoomScale="90" zoomScaleNormal="90" zoomScaleSheetLayoutView="46" workbookViewId="0" xr3:uid="{78B4E459-6924-5F8B-B7BA-2DD04133E49E}">
      <pane xSplit="3" ySplit="8" topLeftCell="D24" activePane="bottomRight" state="frozen"/>
      <selection pane="bottomLeft" activeCell="A2" sqref="A2"/>
      <selection pane="topRight" activeCell="C1" sqref="C1"/>
      <selection pane="bottomRight" activeCell="A37" sqref="A37:XFD37"/>
    </sheetView>
  </sheetViews>
  <sheetFormatPr defaultColWidth="9.953125" defaultRowHeight="0" customHeight="1" zeroHeight="1" x14ac:dyDescent="0.25"/>
  <cols>
    <col min="1" max="1" width="2.04296875" customWidth="1"/>
    <col min="2" max="2" width="21.6796875" customWidth="1"/>
    <col min="3" max="3" width="12.26953125" style="82" customWidth="1"/>
    <col min="4" max="4" width="5.7265625" customWidth="1"/>
    <col min="5" max="5" width="10.90625" customWidth="1"/>
    <col min="6" max="6" width="5.7265625" customWidth="1"/>
    <col min="7" max="7" width="12.26953125" customWidth="1"/>
    <col min="8" max="8" width="5.7265625" customWidth="1"/>
    <col min="9" max="9" width="12.26953125" customWidth="1"/>
    <col min="10" max="10" width="5.7265625" customWidth="1"/>
    <col min="11" max="11" width="13.2265625" customWidth="1"/>
    <col min="12" max="12" width="5.7265625" customWidth="1"/>
    <col min="13" max="13" width="12.6796875" customWidth="1"/>
    <col min="14" max="14" width="5.7265625" customWidth="1"/>
    <col min="15" max="15" width="12.26953125" customWidth="1"/>
    <col min="16" max="16" width="5.7265625" customWidth="1"/>
    <col min="17" max="17" width="12.26953125" customWidth="1"/>
    <col min="18" max="18" width="2.7265625" customWidth="1"/>
  </cols>
  <sheetData>
    <row r="1" spans="2:17" ht="33" customHeight="1" x14ac:dyDescent="0.25">
      <c r="B1" s="19"/>
      <c r="C1" s="20"/>
      <c r="D1" s="19"/>
      <c r="E1" s="19"/>
      <c r="F1" s="19"/>
      <c r="G1" s="19"/>
      <c r="H1" s="19"/>
      <c r="I1" s="19"/>
      <c r="J1" s="19"/>
      <c r="K1" s="19"/>
      <c r="L1" s="19"/>
      <c r="M1" s="19"/>
      <c r="N1" s="19"/>
      <c r="O1" s="19"/>
      <c r="P1" s="19"/>
      <c r="Q1" s="19"/>
    </row>
    <row r="2" spans="2:17" ht="24.75" customHeight="1" x14ac:dyDescent="0.25">
      <c r="B2" s="77"/>
      <c r="C2" s="77"/>
      <c r="D2" s="355" t="s">
        <v>18</v>
      </c>
      <c r="E2" s="355"/>
      <c r="F2" s="355"/>
      <c r="G2" s="355"/>
      <c r="H2" s="77"/>
      <c r="I2" s="77"/>
      <c r="J2" s="77"/>
      <c r="K2" s="77" t="s">
        <v>17</v>
      </c>
      <c r="L2" s="295">
        <f>IF((D8),D8," ")</f>
        <v>43247</v>
      </c>
      <c r="M2" s="295"/>
      <c r="N2" s="312" t="s">
        <v>16</v>
      </c>
      <c r="O2" s="312"/>
      <c r="P2" s="295">
        <f>P8</f>
        <v>43253</v>
      </c>
      <c r="Q2" s="295"/>
    </row>
    <row r="3" spans="2:17" ht="15.75" x14ac:dyDescent="0.25">
      <c r="B3" s="77"/>
      <c r="C3" s="77"/>
      <c r="D3" s="77"/>
      <c r="E3" s="77"/>
      <c r="F3" s="77"/>
      <c r="G3" s="77"/>
      <c r="H3" s="77"/>
      <c r="I3" s="77"/>
      <c r="J3" s="77"/>
      <c r="K3" s="77"/>
      <c r="L3" s="78"/>
      <c r="M3" s="78"/>
      <c r="N3" s="80"/>
      <c r="O3" s="80"/>
      <c r="P3" s="78"/>
      <c r="Q3" s="78"/>
    </row>
    <row r="4" spans="2:17" ht="21" x14ac:dyDescent="0.25">
      <c r="B4" s="77" t="s">
        <v>13</v>
      </c>
      <c r="C4" s="77">
        <f>Employeed!C38</f>
        <v>60029</v>
      </c>
      <c r="D4" s="356" t="s">
        <v>15</v>
      </c>
      <c r="E4" s="356"/>
      <c r="F4" s="356"/>
      <c r="G4" s="356"/>
      <c r="H4" s="294" t="s">
        <v>14</v>
      </c>
      <c r="I4" s="294"/>
      <c r="J4" s="294"/>
      <c r="K4" s="77"/>
      <c r="L4" s="77"/>
      <c r="M4" s="77"/>
      <c r="N4" s="77"/>
      <c r="O4" s="77"/>
      <c r="P4" s="77"/>
      <c r="Q4" s="77"/>
    </row>
    <row r="5" spans="2:17" ht="15.75" x14ac:dyDescent="0.25">
      <c r="B5" s="77" t="s">
        <v>13</v>
      </c>
      <c r="C5" s="77">
        <f>Employeed!D1</f>
        <v>3502</v>
      </c>
      <c r="D5" s="313"/>
      <c r="E5" s="313"/>
      <c r="F5" s="313"/>
      <c r="G5" s="313"/>
      <c r="H5" s="294" t="s">
        <v>12</v>
      </c>
      <c r="I5" s="294"/>
      <c r="J5" s="294"/>
      <c r="K5" s="316" t="str">
        <f>Employeed!C39</f>
        <v>(505) 344-1900</v>
      </c>
      <c r="L5" s="316"/>
      <c r="M5" s="24"/>
      <c r="N5" s="77"/>
      <c r="O5" s="77"/>
      <c r="P5" s="77"/>
      <c r="Q5" s="77"/>
    </row>
    <row r="6" spans="2:17" ht="12" customHeight="1" x14ac:dyDescent="0.25">
      <c r="B6" s="77"/>
      <c r="C6" s="77"/>
      <c r="D6" s="81"/>
      <c r="E6" s="81"/>
      <c r="F6" s="81"/>
      <c r="G6" s="81"/>
      <c r="H6" s="77"/>
      <c r="I6" s="77"/>
      <c r="J6" s="77"/>
      <c r="K6" s="26"/>
      <c r="L6" s="26"/>
      <c r="M6" s="26"/>
      <c r="N6" s="77"/>
      <c r="O6" s="77"/>
      <c r="P6" s="77"/>
      <c r="Q6" s="77"/>
    </row>
    <row r="7" spans="2:17" ht="16.5" customHeight="1" x14ac:dyDescent="0.25">
      <c r="B7" s="314" t="s">
        <v>30</v>
      </c>
      <c r="C7" s="314" t="s">
        <v>31</v>
      </c>
      <c r="D7" s="317" t="s">
        <v>10</v>
      </c>
      <c r="E7" s="318"/>
      <c r="F7" s="319" t="s">
        <v>9</v>
      </c>
      <c r="G7" s="320"/>
      <c r="H7" s="321" t="s">
        <v>8</v>
      </c>
      <c r="I7" s="322"/>
      <c r="J7" s="323" t="s">
        <v>7</v>
      </c>
      <c r="K7" s="324"/>
      <c r="L7" s="325" t="s">
        <v>6</v>
      </c>
      <c r="M7" s="326"/>
      <c r="N7" s="327" t="s">
        <v>5</v>
      </c>
      <c r="O7" s="328"/>
      <c r="P7" s="306" t="s">
        <v>4</v>
      </c>
      <c r="Q7" s="307"/>
    </row>
    <row r="8" spans="2:17" s="2" customFormat="1" ht="16.5" customHeight="1" x14ac:dyDescent="0.25">
      <c r="B8" s="315"/>
      <c r="C8" s="315"/>
      <c r="D8" s="296">
        <v>43247</v>
      </c>
      <c r="E8" s="297"/>
      <c r="F8" s="298">
        <f>IF($D$8,$D$8+1," ")</f>
        <v>43248</v>
      </c>
      <c r="G8" s="299"/>
      <c r="H8" s="300">
        <f>IF($D$8,$D$8+2," ")</f>
        <v>43249</v>
      </c>
      <c r="I8" s="301"/>
      <c r="J8" s="302">
        <f>IF($D$8,$D$8+3," ")</f>
        <v>43250</v>
      </c>
      <c r="K8" s="303"/>
      <c r="L8" s="304">
        <f>IF($D$8,$D$8+4," ")</f>
        <v>43251</v>
      </c>
      <c r="M8" s="305"/>
      <c r="N8" s="284">
        <f>IF($D$8,$D$8+5," ")</f>
        <v>43252</v>
      </c>
      <c r="O8" s="285"/>
      <c r="P8" s="286">
        <f>IF($D$8,$D$8+6," ")</f>
        <v>43253</v>
      </c>
      <c r="Q8" s="287"/>
    </row>
    <row r="9" spans="2:17" ht="26.25" customHeight="1" x14ac:dyDescent="0.25">
      <c r="B9" s="4">
        <f>$C$5</f>
        <v>3502</v>
      </c>
      <c r="C9" s="8" t="s">
        <v>0</v>
      </c>
      <c r="D9" s="288"/>
      <c r="E9" s="289"/>
      <c r="F9" s="288" t="s">
        <v>37</v>
      </c>
      <c r="G9" s="289"/>
      <c r="H9" s="288" t="s">
        <v>41</v>
      </c>
      <c r="I9" s="289"/>
      <c r="J9" s="288" t="s">
        <v>41</v>
      </c>
      <c r="K9" s="289"/>
      <c r="L9" s="288" t="s">
        <v>41</v>
      </c>
      <c r="M9" s="289"/>
      <c r="N9" s="288" t="s">
        <v>38</v>
      </c>
      <c r="O9" s="289"/>
      <c r="P9" s="288" t="s">
        <v>38</v>
      </c>
      <c r="Q9" s="289"/>
    </row>
    <row r="10" spans="2:17" ht="26.25" customHeight="1" x14ac:dyDescent="0.25">
      <c r="B10" s="308" t="s">
        <v>3</v>
      </c>
      <c r="C10" s="8" t="s">
        <v>23</v>
      </c>
      <c r="D10" s="288" t="s">
        <v>38</v>
      </c>
      <c r="E10" s="289"/>
      <c r="F10" s="288"/>
      <c r="G10" s="289"/>
      <c r="H10" s="288"/>
      <c r="I10" s="289"/>
      <c r="J10" s="288"/>
      <c r="K10" s="289"/>
      <c r="L10" s="288"/>
      <c r="M10" s="289"/>
      <c r="N10" s="288"/>
      <c r="O10" s="289"/>
      <c r="P10" s="288"/>
      <c r="Q10" s="289"/>
    </row>
    <row r="11" spans="2:17" ht="26.25" customHeight="1" x14ac:dyDescent="0.25">
      <c r="B11" s="309"/>
      <c r="C11" s="8" t="s">
        <v>1</v>
      </c>
      <c r="D11" s="288"/>
      <c r="E11" s="289"/>
      <c r="F11" s="288" t="s">
        <v>39</v>
      </c>
      <c r="G11" s="289"/>
      <c r="H11" s="288" t="s">
        <v>40</v>
      </c>
      <c r="I11" s="289"/>
      <c r="J11" s="288" t="s">
        <v>38</v>
      </c>
      <c r="K11" s="289"/>
      <c r="L11" s="288" t="s">
        <v>42</v>
      </c>
      <c r="M11" s="289"/>
      <c r="N11" s="288" t="s">
        <v>42</v>
      </c>
      <c r="O11" s="289"/>
      <c r="P11" s="288" t="s">
        <v>58</v>
      </c>
      <c r="Q11" s="289"/>
    </row>
    <row r="12" spans="2:17" ht="26.25" customHeight="1" x14ac:dyDescent="0.25">
      <c r="B12" s="4">
        <f>$C$5</f>
        <v>3502</v>
      </c>
      <c r="C12" s="8" t="s">
        <v>0</v>
      </c>
      <c r="D12" s="288"/>
      <c r="E12" s="289"/>
      <c r="F12" s="288" t="s">
        <v>44</v>
      </c>
      <c r="G12" s="289"/>
      <c r="H12" s="288" t="s">
        <v>44</v>
      </c>
      <c r="I12" s="289"/>
      <c r="J12" s="288" t="s">
        <v>45</v>
      </c>
      <c r="K12" s="289"/>
      <c r="L12" s="288" t="s">
        <v>44</v>
      </c>
      <c r="M12" s="289"/>
      <c r="N12" s="288" t="s">
        <v>44</v>
      </c>
      <c r="O12" s="289"/>
      <c r="P12" s="288" t="s">
        <v>44</v>
      </c>
      <c r="Q12" s="289"/>
    </row>
    <row r="13" spans="2:17" ht="26.25" customHeight="1" x14ac:dyDescent="0.25">
      <c r="B13" s="308" t="s">
        <v>22</v>
      </c>
      <c r="C13" s="8" t="s">
        <v>23</v>
      </c>
      <c r="D13" s="288" t="s">
        <v>45</v>
      </c>
      <c r="E13" s="289"/>
      <c r="F13" s="288"/>
      <c r="G13" s="289"/>
      <c r="H13" s="288"/>
      <c r="I13" s="289"/>
      <c r="J13" s="288"/>
      <c r="K13" s="289"/>
      <c r="L13" s="288"/>
      <c r="M13" s="289"/>
      <c r="N13" s="288"/>
      <c r="O13" s="289"/>
      <c r="P13" s="288"/>
      <c r="Q13" s="289"/>
    </row>
    <row r="14" spans="2:17" ht="26.25" customHeight="1" x14ac:dyDescent="0.25">
      <c r="B14" s="309"/>
      <c r="C14" s="8" t="s">
        <v>1</v>
      </c>
      <c r="D14" s="288"/>
      <c r="E14" s="289"/>
      <c r="F14" s="288" t="s">
        <v>71</v>
      </c>
      <c r="G14" s="289"/>
      <c r="H14" s="288" t="s">
        <v>67</v>
      </c>
      <c r="I14" s="289"/>
      <c r="J14" s="288" t="s">
        <v>39</v>
      </c>
      <c r="K14" s="289"/>
      <c r="L14" s="288" t="s">
        <v>71</v>
      </c>
      <c r="M14" s="289"/>
      <c r="N14" s="288" t="s">
        <v>83</v>
      </c>
      <c r="O14" s="289"/>
      <c r="P14" s="288" t="s">
        <v>42</v>
      </c>
      <c r="Q14" s="289"/>
    </row>
    <row r="15" spans="2:17" ht="26.25" customHeight="1" x14ac:dyDescent="0.25">
      <c r="B15" s="4">
        <f>$C$5</f>
        <v>3502</v>
      </c>
      <c r="C15" s="8" t="s">
        <v>32</v>
      </c>
      <c r="D15" s="288" t="s">
        <v>42</v>
      </c>
      <c r="E15" s="289"/>
      <c r="F15" s="288" t="s">
        <v>45</v>
      </c>
      <c r="G15" s="289"/>
      <c r="H15" s="288"/>
      <c r="I15" s="289"/>
      <c r="J15" s="288"/>
      <c r="K15" s="289"/>
      <c r="L15" s="288"/>
      <c r="M15" s="289"/>
      <c r="N15" s="288"/>
      <c r="O15" s="289"/>
      <c r="P15" s="288" t="s">
        <v>43</v>
      </c>
      <c r="Q15" s="289"/>
    </row>
    <row r="16" spans="2:17" ht="26.25" customHeight="1" x14ac:dyDescent="0.25">
      <c r="B16" s="308" t="s">
        <v>24</v>
      </c>
      <c r="C16" s="8" t="s">
        <v>27</v>
      </c>
      <c r="D16" s="288"/>
      <c r="E16" s="289"/>
      <c r="F16" s="288"/>
      <c r="G16" s="289"/>
      <c r="H16" s="288" t="s">
        <v>58</v>
      </c>
      <c r="I16" s="289"/>
      <c r="J16" s="288" t="s">
        <v>85</v>
      </c>
      <c r="K16" s="289"/>
      <c r="L16" s="288" t="s">
        <v>38</v>
      </c>
      <c r="M16" s="289"/>
      <c r="N16" s="288" t="s">
        <v>50</v>
      </c>
      <c r="O16" s="289"/>
      <c r="P16" s="288" t="s">
        <v>49</v>
      </c>
      <c r="Q16" s="289"/>
    </row>
    <row r="17" spans="2:18" ht="26.25" customHeight="1" x14ac:dyDescent="0.25">
      <c r="B17" s="309"/>
      <c r="C17" s="8" t="s">
        <v>25</v>
      </c>
      <c r="D17" s="288" t="s">
        <v>85</v>
      </c>
      <c r="E17" s="289"/>
      <c r="F17" s="288" t="s">
        <v>42</v>
      </c>
      <c r="G17" s="289"/>
      <c r="H17" s="288"/>
      <c r="I17" s="289"/>
      <c r="J17" s="288"/>
      <c r="K17" s="289"/>
      <c r="L17" s="288"/>
      <c r="M17" s="289"/>
      <c r="N17" s="288"/>
      <c r="O17" s="289"/>
      <c r="P17" s="288" t="s">
        <v>50</v>
      </c>
      <c r="Q17" s="289"/>
    </row>
    <row r="18" spans="2:18" ht="16.5" customHeight="1" x14ac:dyDescent="0.25">
      <c r="B18" s="4">
        <f>$C$5</f>
        <v>3502</v>
      </c>
      <c r="C18" s="310" t="s">
        <v>36</v>
      </c>
      <c r="D18" s="290" t="s">
        <v>41</v>
      </c>
      <c r="E18" s="291"/>
      <c r="F18" s="290"/>
      <c r="G18" s="291"/>
      <c r="H18" s="290"/>
      <c r="I18" s="291"/>
      <c r="J18" s="290"/>
      <c r="K18" s="291"/>
      <c r="L18" s="290"/>
      <c r="M18" s="291"/>
      <c r="N18" s="290"/>
      <c r="O18" s="291"/>
      <c r="P18" s="290" t="s">
        <v>40</v>
      </c>
      <c r="Q18" s="291"/>
    </row>
    <row r="19" spans="2:18" ht="15.75" x14ac:dyDescent="0.25">
      <c r="B19" s="79" t="s">
        <v>26</v>
      </c>
      <c r="C19" s="311"/>
      <c r="D19" s="292"/>
      <c r="E19" s="293"/>
      <c r="F19" s="292"/>
      <c r="G19" s="293"/>
      <c r="H19" s="292"/>
      <c r="I19" s="293"/>
      <c r="J19" s="292"/>
      <c r="K19" s="293"/>
      <c r="L19" s="292"/>
      <c r="M19" s="293"/>
      <c r="N19" s="292"/>
      <c r="O19" s="293"/>
      <c r="P19" s="292"/>
      <c r="Q19" s="293"/>
      <c r="R19" s="5"/>
    </row>
    <row r="20" spans="2:18" ht="26.25" customHeight="1" x14ac:dyDescent="0.25">
      <c r="B20" s="4">
        <f>$C$5</f>
        <v>3502</v>
      </c>
      <c r="C20" s="8" t="s">
        <v>0</v>
      </c>
      <c r="D20" s="288"/>
      <c r="E20" s="289"/>
      <c r="F20" s="288" t="s">
        <v>67</v>
      </c>
      <c r="G20" s="289"/>
      <c r="H20" s="288" t="s">
        <v>45</v>
      </c>
      <c r="I20" s="289"/>
      <c r="J20" s="288" t="s">
        <v>37</v>
      </c>
      <c r="K20" s="289"/>
      <c r="L20" s="288" t="s">
        <v>37</v>
      </c>
      <c r="M20" s="289"/>
      <c r="N20" s="288" t="s">
        <v>49</v>
      </c>
      <c r="O20" s="289"/>
      <c r="P20" s="288" t="s">
        <v>37</v>
      </c>
      <c r="Q20" s="289"/>
    </row>
    <row r="21" spans="2:18" ht="26.25" customHeight="1" x14ac:dyDescent="0.25">
      <c r="B21" s="308" t="s">
        <v>33</v>
      </c>
      <c r="C21" s="8" t="s">
        <v>23</v>
      </c>
      <c r="D21" s="288" t="s">
        <v>67</v>
      </c>
      <c r="E21" s="289"/>
      <c r="F21" s="288"/>
      <c r="G21" s="289"/>
      <c r="H21" s="288"/>
      <c r="I21" s="289"/>
      <c r="J21" s="288"/>
      <c r="K21" s="289"/>
      <c r="L21" s="288"/>
      <c r="M21" s="289"/>
      <c r="N21" s="288"/>
      <c r="O21" s="289"/>
      <c r="P21" s="288"/>
      <c r="Q21" s="289"/>
    </row>
    <row r="22" spans="2:18" ht="26.25" customHeight="1" x14ac:dyDescent="0.25">
      <c r="B22" s="308"/>
      <c r="C22" s="8" t="s">
        <v>1</v>
      </c>
      <c r="D22" s="288"/>
      <c r="E22" s="289"/>
      <c r="F22" s="288" t="s">
        <v>83</v>
      </c>
      <c r="G22" s="289"/>
      <c r="H22" s="288" t="s">
        <v>39</v>
      </c>
      <c r="I22" s="289"/>
      <c r="J22" s="288" t="s">
        <v>40</v>
      </c>
      <c r="K22" s="289"/>
      <c r="L22" s="288" t="s">
        <v>39</v>
      </c>
      <c r="M22" s="289"/>
      <c r="N22" s="288" t="s">
        <v>40</v>
      </c>
      <c r="O22" s="289"/>
      <c r="P22" s="288" t="s">
        <v>83</v>
      </c>
      <c r="Q22" s="289"/>
    </row>
    <row r="23" spans="2:18" ht="26.25" customHeight="1" x14ac:dyDescent="0.25">
      <c r="B23" s="4">
        <f>$C$5</f>
        <v>3502</v>
      </c>
      <c r="C23" s="8" t="s">
        <v>0</v>
      </c>
      <c r="D23" s="288"/>
      <c r="E23" s="289"/>
      <c r="F23" s="288" t="s">
        <v>43</v>
      </c>
      <c r="G23" s="289"/>
      <c r="H23" s="288" t="s">
        <v>37</v>
      </c>
      <c r="I23" s="289"/>
      <c r="J23" s="288" t="s">
        <v>43</v>
      </c>
      <c r="K23" s="289"/>
      <c r="L23" s="288" t="s">
        <v>43</v>
      </c>
      <c r="M23" s="289"/>
      <c r="N23" s="288" t="s">
        <v>43</v>
      </c>
      <c r="O23" s="289"/>
      <c r="P23" s="288" t="s">
        <v>39</v>
      </c>
      <c r="Q23" s="289"/>
    </row>
    <row r="24" spans="2:18" ht="26.25" customHeight="1" x14ac:dyDescent="0.25">
      <c r="B24" s="308" t="s">
        <v>70</v>
      </c>
      <c r="C24" s="8" t="s">
        <v>23</v>
      </c>
      <c r="D24" s="288" t="s">
        <v>40</v>
      </c>
      <c r="E24" s="289"/>
      <c r="F24" s="288"/>
      <c r="G24" s="289"/>
      <c r="H24" s="288"/>
      <c r="I24" s="289"/>
      <c r="J24" s="288"/>
      <c r="K24" s="289"/>
      <c r="L24" s="288"/>
      <c r="M24" s="289"/>
      <c r="N24" s="288"/>
      <c r="O24" s="289"/>
      <c r="P24" s="288"/>
      <c r="Q24" s="289"/>
    </row>
    <row r="25" spans="2:18" ht="26.25" customHeight="1" x14ac:dyDescent="0.25">
      <c r="B25" s="309"/>
      <c r="C25" s="8" t="s">
        <v>1</v>
      </c>
      <c r="D25" s="288"/>
      <c r="E25" s="289"/>
      <c r="F25" s="288" t="s">
        <v>40</v>
      </c>
      <c r="G25" s="289"/>
      <c r="H25" s="288" t="s">
        <v>71</v>
      </c>
      <c r="I25" s="289"/>
      <c r="J25" s="288" t="s">
        <v>71</v>
      </c>
      <c r="K25" s="289"/>
      <c r="L25" s="288" t="s">
        <v>83</v>
      </c>
      <c r="M25" s="289"/>
      <c r="N25" s="288" t="s">
        <v>58</v>
      </c>
      <c r="O25" s="289"/>
      <c r="P25" s="288" t="s">
        <v>84</v>
      </c>
      <c r="Q25" s="289"/>
    </row>
    <row r="26" spans="2:18" ht="26.25" customHeight="1" x14ac:dyDescent="0.25">
      <c r="B26" s="6" t="s">
        <v>34</v>
      </c>
      <c r="C26" s="310" t="s">
        <v>29</v>
      </c>
      <c r="D26" s="290" t="s">
        <v>51</v>
      </c>
      <c r="E26" s="291"/>
      <c r="F26" s="290" t="s">
        <v>49</v>
      </c>
      <c r="G26" s="291"/>
      <c r="H26" s="290" t="s">
        <v>51</v>
      </c>
      <c r="I26" s="291"/>
      <c r="J26" s="290" t="s">
        <v>51</v>
      </c>
      <c r="K26" s="291"/>
      <c r="L26" s="290" t="s">
        <v>49</v>
      </c>
      <c r="M26" s="291"/>
      <c r="N26" s="290" t="s">
        <v>51</v>
      </c>
      <c r="O26" s="291"/>
      <c r="P26" s="290" t="s">
        <v>51</v>
      </c>
      <c r="Q26" s="291"/>
    </row>
    <row r="27" spans="2:18" ht="26.25" customHeight="1" x14ac:dyDescent="0.25">
      <c r="B27" s="79" t="s">
        <v>35</v>
      </c>
      <c r="C27" s="311"/>
      <c r="D27" s="292"/>
      <c r="E27" s="293"/>
      <c r="F27" s="292"/>
      <c r="G27" s="293"/>
      <c r="H27" s="292"/>
      <c r="I27" s="293"/>
      <c r="J27" s="292"/>
      <c r="K27" s="293"/>
      <c r="L27" s="292"/>
      <c r="M27" s="293"/>
      <c r="N27" s="292"/>
      <c r="O27" s="293"/>
      <c r="P27" s="292"/>
      <c r="Q27" s="293"/>
    </row>
    <row r="28" spans="2:18" ht="15.75" x14ac:dyDescent="0.25"/>
    <row r="29" spans="2:18" ht="15.75" hidden="1" x14ac:dyDescent="0.25"/>
    <row r="30" spans="2:18" ht="15.75" hidden="1" x14ac:dyDescent="0.25"/>
    <row r="31" spans="2:18" ht="15.75" hidden="1" x14ac:dyDescent="0.25"/>
    <row r="32" spans="2:18" ht="15.75" hidden="1" x14ac:dyDescent="0.25"/>
    <row r="33" spans="2:13" ht="16.5" customHeight="1" x14ac:dyDescent="0.25"/>
    <row r="34" spans="2:13" ht="16.5" customHeight="1" x14ac:dyDescent="0.25"/>
    <row r="35" spans="2:13" ht="16.5" customHeight="1" x14ac:dyDescent="0.25"/>
    <row r="36" spans="2:13" ht="16.5" customHeight="1" x14ac:dyDescent="0.25"/>
    <row r="37" spans="2:13" s="19" customFormat="1" ht="16.5" customHeight="1" x14ac:dyDescent="0.25">
      <c r="B37" s="199" t="s">
        <v>115</v>
      </c>
      <c r="C37" s="196" t="s">
        <v>116</v>
      </c>
      <c r="D37" s="196"/>
      <c r="E37" s="196"/>
      <c r="F37" s="196"/>
      <c r="G37" s="196"/>
      <c r="H37" s="373" t="s">
        <v>125</v>
      </c>
      <c r="I37" s="373"/>
      <c r="J37" s="219" t="s">
        <v>126</v>
      </c>
      <c r="K37" s="198" t="s">
        <v>113</v>
      </c>
      <c r="L37" s="197" t="s">
        <v>114</v>
      </c>
      <c r="M37" s="196"/>
    </row>
  </sheetData>
  <mergeCells count="152">
    <mergeCell ref="H37:I37"/>
    <mergeCell ref="D2:G2"/>
    <mergeCell ref="L2:M2"/>
    <mergeCell ref="N2:O2"/>
    <mergeCell ref="P2:Q2"/>
    <mergeCell ref="D4:G4"/>
    <mergeCell ref="H4:J4"/>
    <mergeCell ref="D5:G5"/>
    <mergeCell ref="H5:J5"/>
    <mergeCell ref="K5:L5"/>
    <mergeCell ref="F11:G11"/>
    <mergeCell ref="H11:I11"/>
    <mergeCell ref="J11:K11"/>
    <mergeCell ref="L11:M11"/>
    <mergeCell ref="N11:O11"/>
    <mergeCell ref="P11:Q11"/>
    <mergeCell ref="P9:Q9"/>
    <mergeCell ref="D9:E9"/>
    <mergeCell ref="F9:G9"/>
    <mergeCell ref="H9:I9"/>
    <mergeCell ref="J9:K9"/>
    <mergeCell ref="L9:M9"/>
    <mergeCell ref="N9:O9"/>
    <mergeCell ref="F14:G14"/>
    <mergeCell ref="B7:B8"/>
    <mergeCell ref="C7:C8"/>
    <mergeCell ref="D7:E7"/>
    <mergeCell ref="F7:G7"/>
    <mergeCell ref="H7:I7"/>
    <mergeCell ref="J7:K7"/>
    <mergeCell ref="L7:M7"/>
    <mergeCell ref="N7:O7"/>
    <mergeCell ref="P7:Q7"/>
    <mergeCell ref="D8:E8"/>
    <mergeCell ref="F8:G8"/>
    <mergeCell ref="H8:I8"/>
    <mergeCell ref="J8:K8"/>
    <mergeCell ref="L8:M8"/>
    <mergeCell ref="N8:O8"/>
    <mergeCell ref="P8:Q8"/>
    <mergeCell ref="B10:B11"/>
    <mergeCell ref="D10:E10"/>
    <mergeCell ref="F10:G10"/>
    <mergeCell ref="H10:I10"/>
    <mergeCell ref="J10:K10"/>
    <mergeCell ref="L10:M10"/>
    <mergeCell ref="N10:O10"/>
    <mergeCell ref="P10:Q10"/>
    <mergeCell ref="D11:E11"/>
    <mergeCell ref="H14:I14"/>
    <mergeCell ref="J14:K14"/>
    <mergeCell ref="L14:M14"/>
    <mergeCell ref="N14:O14"/>
    <mergeCell ref="P14:Q14"/>
    <mergeCell ref="P12:Q12"/>
    <mergeCell ref="B13:B14"/>
    <mergeCell ref="D13:E13"/>
    <mergeCell ref="F13:G13"/>
    <mergeCell ref="H13:I13"/>
    <mergeCell ref="J13:K13"/>
    <mergeCell ref="L13:M13"/>
    <mergeCell ref="N13:O13"/>
    <mergeCell ref="P13:Q13"/>
    <mergeCell ref="D14:E14"/>
    <mergeCell ref="D12:E12"/>
    <mergeCell ref="F12:G12"/>
    <mergeCell ref="H12:I12"/>
    <mergeCell ref="J12:K12"/>
    <mergeCell ref="L12:M12"/>
    <mergeCell ref="N12:O12"/>
    <mergeCell ref="N17:O17"/>
    <mergeCell ref="P17:Q17"/>
    <mergeCell ref="P15:Q15"/>
    <mergeCell ref="B16:B17"/>
    <mergeCell ref="D16:E16"/>
    <mergeCell ref="F16:G16"/>
    <mergeCell ref="H16:I16"/>
    <mergeCell ref="J16:K16"/>
    <mergeCell ref="L16:M16"/>
    <mergeCell ref="N16:O16"/>
    <mergeCell ref="P16:Q16"/>
    <mergeCell ref="D17:E17"/>
    <mergeCell ref="D15:E15"/>
    <mergeCell ref="F15:G15"/>
    <mergeCell ref="H15:I15"/>
    <mergeCell ref="J15:K15"/>
    <mergeCell ref="L15:M15"/>
    <mergeCell ref="N15:O15"/>
    <mergeCell ref="C18:C19"/>
    <mergeCell ref="D18:E19"/>
    <mergeCell ref="F18:G19"/>
    <mergeCell ref="H18:I19"/>
    <mergeCell ref="J18:K19"/>
    <mergeCell ref="L18:M19"/>
    <mergeCell ref="F17:G17"/>
    <mergeCell ref="H17:I17"/>
    <mergeCell ref="J17:K17"/>
    <mergeCell ref="L17:M17"/>
    <mergeCell ref="H21:I21"/>
    <mergeCell ref="J21:K21"/>
    <mergeCell ref="L21:M21"/>
    <mergeCell ref="D22:E22"/>
    <mergeCell ref="F22:G22"/>
    <mergeCell ref="H22:I22"/>
    <mergeCell ref="J22:K22"/>
    <mergeCell ref="N18:O19"/>
    <mergeCell ref="P18:Q19"/>
    <mergeCell ref="D20:E20"/>
    <mergeCell ref="F20:G20"/>
    <mergeCell ref="H20:I20"/>
    <mergeCell ref="J20:K20"/>
    <mergeCell ref="L20:M20"/>
    <mergeCell ref="N20:O20"/>
    <mergeCell ref="P20:Q20"/>
    <mergeCell ref="N21:O21"/>
    <mergeCell ref="P21:Q21"/>
    <mergeCell ref="L22:M22"/>
    <mergeCell ref="N22:O22"/>
    <mergeCell ref="P22:Q22"/>
    <mergeCell ref="N24:O24"/>
    <mergeCell ref="P24:Q24"/>
    <mergeCell ref="D25:E25"/>
    <mergeCell ref="D23:E23"/>
    <mergeCell ref="F23:G23"/>
    <mergeCell ref="H23:I23"/>
    <mergeCell ref="J23:K23"/>
    <mergeCell ref="L23:M23"/>
    <mergeCell ref="N23:O23"/>
    <mergeCell ref="B21:B22"/>
    <mergeCell ref="D21:E21"/>
    <mergeCell ref="F21:G21"/>
    <mergeCell ref="N26:O27"/>
    <mergeCell ref="P26:Q27"/>
    <mergeCell ref="C26:C27"/>
    <mergeCell ref="D26:E27"/>
    <mergeCell ref="F26:G27"/>
    <mergeCell ref="H26:I27"/>
    <mergeCell ref="J26:K27"/>
    <mergeCell ref="L26:M27"/>
    <mergeCell ref="F25:G25"/>
    <mergeCell ref="H25:I25"/>
    <mergeCell ref="J25:K25"/>
    <mergeCell ref="L25:M25"/>
    <mergeCell ref="N25:O25"/>
    <mergeCell ref="P25:Q25"/>
    <mergeCell ref="P23:Q23"/>
    <mergeCell ref="B24:B25"/>
    <mergeCell ref="D24:E24"/>
    <mergeCell ref="F24:G24"/>
    <mergeCell ref="H24:I24"/>
    <mergeCell ref="J24:K24"/>
    <mergeCell ref="L24:M24"/>
  </mergeCells>
  <dataValidations count="2">
    <dataValidation type="list" allowBlank="1" showInputMessage="1" showErrorMessage="1" sqref="D9:Q27" xr:uid="{00000000-0002-0000-0500-000000000000}">
      <formula1>List_Guard</formula1>
    </dataValidation>
    <dataValidation type="list" allowBlank="1" showInputMessage="1" showErrorMessage="1" sqref="C9:C27" xr:uid="{00000000-0002-0000-0500-000001000000}">
      <formula1>Timer</formula1>
    </dataValidation>
  </dataValidations>
  <hyperlinks>
    <hyperlink ref="H37" r:id="rId1" xr:uid="{3B3825D2-767E-41F7-A57A-7EFF3CD0E572}"/>
  </hyperlinks>
  <pageMargins left="0.64" right="0.52" top="0.75" bottom="0.59" header="0.3" footer="0.3"/>
  <pageSetup scale="77" orientation="landscape" horizontalDpi="4294967292"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9">
    <tabColor theme="8" tint="0.59999389629810485"/>
    <pageSetUpPr fitToPage="1"/>
  </sheetPr>
  <dimension ref="B1:R37"/>
  <sheetViews>
    <sheetView showGridLines="0" zoomScale="90" zoomScaleNormal="90" zoomScaleSheetLayoutView="46" workbookViewId="0" xr3:uid="{9B253EF2-77E0-53E3-AE26-4D66ECD923F3}">
      <pane xSplit="3" ySplit="8" topLeftCell="D24" activePane="bottomRight" state="frozen"/>
      <selection pane="bottomLeft" activeCell="A2" sqref="A2"/>
      <selection pane="topRight" activeCell="C1" sqref="C1"/>
      <selection pane="bottomRight" activeCell="A37" sqref="A37:XFD37"/>
    </sheetView>
  </sheetViews>
  <sheetFormatPr defaultColWidth="9.953125" defaultRowHeight="0" customHeight="1" zeroHeight="1" x14ac:dyDescent="0.25"/>
  <cols>
    <col min="1" max="1" width="2.04296875" customWidth="1"/>
    <col min="2" max="2" width="21.6796875" customWidth="1"/>
    <col min="3" max="3" width="12.26953125" style="88" customWidth="1"/>
    <col min="4" max="4" width="5.7265625" customWidth="1"/>
    <col min="5" max="5" width="10.90625" customWidth="1"/>
    <col min="6" max="6" width="5.7265625" customWidth="1"/>
    <col min="7" max="7" width="12.26953125" customWidth="1"/>
    <col min="8" max="8" width="5.7265625" customWidth="1"/>
    <col min="9" max="9" width="12.26953125" customWidth="1"/>
    <col min="10" max="10" width="5.7265625" customWidth="1"/>
    <col min="11" max="11" width="13.2265625" customWidth="1"/>
    <col min="12" max="12" width="5.7265625" customWidth="1"/>
    <col min="13" max="13" width="12.6796875" customWidth="1"/>
    <col min="14" max="14" width="5.7265625" customWidth="1"/>
    <col min="15" max="15" width="12.26953125" customWidth="1"/>
    <col min="16" max="16" width="5.7265625" customWidth="1"/>
    <col min="17" max="17" width="12.26953125" customWidth="1"/>
    <col min="18" max="18" width="2.7265625" customWidth="1"/>
  </cols>
  <sheetData>
    <row r="1" spans="2:17" ht="33" customHeight="1" x14ac:dyDescent="0.25">
      <c r="B1" s="19"/>
      <c r="C1" s="20"/>
      <c r="D1" s="19"/>
      <c r="E1" s="19"/>
      <c r="F1" s="19"/>
      <c r="G1" s="19"/>
      <c r="H1" s="19"/>
      <c r="I1" s="19"/>
      <c r="J1" s="19"/>
      <c r="K1" s="19"/>
      <c r="L1" s="19"/>
      <c r="M1" s="19"/>
      <c r="N1" s="19"/>
      <c r="O1" s="19"/>
      <c r="P1" s="19"/>
      <c r="Q1" s="19"/>
    </row>
    <row r="2" spans="2:17" ht="24.75" customHeight="1" x14ac:dyDescent="0.25">
      <c r="B2" s="86"/>
      <c r="C2" s="86"/>
      <c r="D2" s="355" t="s">
        <v>18</v>
      </c>
      <c r="E2" s="355"/>
      <c r="F2" s="355"/>
      <c r="G2" s="355"/>
      <c r="H2" s="86"/>
      <c r="I2" s="86"/>
      <c r="J2" s="86"/>
      <c r="K2" s="86" t="s">
        <v>17</v>
      </c>
      <c r="L2" s="295">
        <f>IF((D8),D8," ")</f>
        <v>43254</v>
      </c>
      <c r="M2" s="295"/>
      <c r="N2" s="312" t="s">
        <v>16</v>
      </c>
      <c r="O2" s="312"/>
      <c r="P2" s="295">
        <f>P8</f>
        <v>43260</v>
      </c>
      <c r="Q2" s="295"/>
    </row>
    <row r="3" spans="2:17" ht="15.75" x14ac:dyDescent="0.25">
      <c r="B3" s="86"/>
      <c r="C3" s="86"/>
      <c r="D3" s="86"/>
      <c r="E3" s="86"/>
      <c r="F3" s="86"/>
      <c r="G3" s="86"/>
      <c r="H3" s="86"/>
      <c r="I3" s="86"/>
      <c r="J3" s="86"/>
      <c r="K3" s="86"/>
      <c r="L3" s="85"/>
      <c r="M3" s="85"/>
      <c r="N3" s="84"/>
      <c r="O3" s="84"/>
      <c r="P3" s="85"/>
      <c r="Q3" s="85"/>
    </row>
    <row r="4" spans="2:17" ht="21" x14ac:dyDescent="0.25">
      <c r="B4" s="86" t="s">
        <v>13</v>
      </c>
      <c r="C4" s="86">
        <f>Employeed!C38</f>
        <v>60029</v>
      </c>
      <c r="D4" s="356" t="s">
        <v>15</v>
      </c>
      <c r="E4" s="356"/>
      <c r="F4" s="356"/>
      <c r="G4" s="356"/>
      <c r="H4" s="294" t="s">
        <v>14</v>
      </c>
      <c r="I4" s="294"/>
      <c r="J4" s="294"/>
      <c r="K4" s="86"/>
      <c r="L4" s="86"/>
      <c r="M4" s="86"/>
      <c r="N4" s="86"/>
      <c r="O4" s="86"/>
      <c r="P4" s="86"/>
      <c r="Q4" s="86"/>
    </row>
    <row r="5" spans="2:17" ht="15.75" x14ac:dyDescent="0.25">
      <c r="B5" s="86" t="s">
        <v>13</v>
      </c>
      <c r="C5" s="86">
        <f>Employeed!D1</f>
        <v>3502</v>
      </c>
      <c r="D5" s="313"/>
      <c r="E5" s="313"/>
      <c r="F5" s="313"/>
      <c r="G5" s="313"/>
      <c r="H5" s="294" t="s">
        <v>12</v>
      </c>
      <c r="I5" s="294"/>
      <c r="J5" s="294"/>
      <c r="K5" s="316" t="str">
        <f>Employeed!C39</f>
        <v>(505) 344-1900</v>
      </c>
      <c r="L5" s="316"/>
      <c r="M5" s="24"/>
      <c r="N5" s="86"/>
      <c r="O5" s="86"/>
      <c r="P5" s="86"/>
      <c r="Q5" s="86"/>
    </row>
    <row r="6" spans="2:17" ht="12" customHeight="1" x14ac:dyDescent="0.25">
      <c r="B6" s="86"/>
      <c r="C6" s="86"/>
      <c r="D6" s="87"/>
      <c r="E6" s="87"/>
      <c r="F6" s="87"/>
      <c r="G6" s="87"/>
      <c r="H6" s="86"/>
      <c r="I6" s="86"/>
      <c r="J6" s="86"/>
      <c r="K6" s="26"/>
      <c r="L6" s="26"/>
      <c r="M6" s="26"/>
      <c r="N6" s="86"/>
      <c r="O6" s="86"/>
      <c r="P6" s="86"/>
      <c r="Q6" s="86"/>
    </row>
    <row r="7" spans="2:17" ht="16.5" customHeight="1" x14ac:dyDescent="0.25">
      <c r="B7" s="314" t="s">
        <v>30</v>
      </c>
      <c r="C7" s="314" t="s">
        <v>31</v>
      </c>
      <c r="D7" s="317" t="s">
        <v>10</v>
      </c>
      <c r="E7" s="318"/>
      <c r="F7" s="319" t="s">
        <v>9</v>
      </c>
      <c r="G7" s="320"/>
      <c r="H7" s="321" t="s">
        <v>8</v>
      </c>
      <c r="I7" s="322"/>
      <c r="J7" s="323" t="s">
        <v>7</v>
      </c>
      <c r="K7" s="324"/>
      <c r="L7" s="325" t="s">
        <v>6</v>
      </c>
      <c r="M7" s="326"/>
      <c r="N7" s="327" t="s">
        <v>5</v>
      </c>
      <c r="O7" s="328"/>
      <c r="P7" s="306" t="s">
        <v>4</v>
      </c>
      <c r="Q7" s="307"/>
    </row>
    <row r="8" spans="2:17" s="2" customFormat="1" ht="16.5" customHeight="1" x14ac:dyDescent="0.25">
      <c r="B8" s="315"/>
      <c r="C8" s="315"/>
      <c r="D8" s="296">
        <v>43254</v>
      </c>
      <c r="E8" s="297"/>
      <c r="F8" s="298">
        <f>IF($D$8,$D$8+1," ")</f>
        <v>43255</v>
      </c>
      <c r="G8" s="299"/>
      <c r="H8" s="300">
        <f>IF($D$8,$D$8+2," ")</f>
        <v>43256</v>
      </c>
      <c r="I8" s="301"/>
      <c r="J8" s="302">
        <f>IF($D$8,$D$8+3," ")</f>
        <v>43257</v>
      </c>
      <c r="K8" s="303"/>
      <c r="L8" s="304">
        <f>IF($D$8,$D$8+4," ")</f>
        <v>43258</v>
      </c>
      <c r="M8" s="305"/>
      <c r="N8" s="284">
        <f>IF($D$8,$D$8+5," ")</f>
        <v>43259</v>
      </c>
      <c r="O8" s="285"/>
      <c r="P8" s="286">
        <f>IF($D$8,$D$8+6," ")</f>
        <v>43260</v>
      </c>
      <c r="Q8" s="287"/>
    </row>
    <row r="9" spans="2:17" ht="26.25" customHeight="1" x14ac:dyDescent="0.25">
      <c r="B9" s="4">
        <f>$C$5</f>
        <v>3502</v>
      </c>
      <c r="C9" s="8" t="s">
        <v>0</v>
      </c>
      <c r="D9" s="288"/>
      <c r="E9" s="289"/>
      <c r="F9" s="288" t="s">
        <v>88</v>
      </c>
      <c r="G9" s="289"/>
      <c r="H9" s="288" t="s">
        <v>41</v>
      </c>
      <c r="I9" s="289"/>
      <c r="J9" s="288" t="s">
        <v>41</v>
      </c>
      <c r="K9" s="289"/>
      <c r="L9" s="288" t="s">
        <v>41</v>
      </c>
      <c r="M9" s="289"/>
      <c r="N9" s="288" t="s">
        <v>38</v>
      </c>
      <c r="O9" s="289"/>
      <c r="P9" s="288" t="s">
        <v>38</v>
      </c>
      <c r="Q9" s="289"/>
    </row>
    <row r="10" spans="2:17" ht="26.25" customHeight="1" x14ac:dyDescent="0.25">
      <c r="B10" s="308" t="s">
        <v>3</v>
      </c>
      <c r="C10" s="8" t="s">
        <v>23</v>
      </c>
      <c r="D10" s="288" t="s">
        <v>38</v>
      </c>
      <c r="E10" s="289"/>
      <c r="F10" s="288"/>
      <c r="G10" s="289"/>
      <c r="H10" s="288"/>
      <c r="I10" s="289"/>
      <c r="J10" s="288"/>
      <c r="K10" s="289"/>
      <c r="L10" s="288"/>
      <c r="M10" s="289"/>
      <c r="N10" s="288"/>
      <c r="O10" s="289"/>
      <c r="P10" s="288"/>
      <c r="Q10" s="289"/>
    </row>
    <row r="11" spans="2:17" ht="26.25" customHeight="1" x14ac:dyDescent="0.25">
      <c r="B11" s="309"/>
      <c r="C11" s="8" t="s">
        <v>1</v>
      </c>
      <c r="D11" s="288"/>
      <c r="E11" s="289"/>
      <c r="F11" s="288" t="s">
        <v>39</v>
      </c>
      <c r="G11" s="289"/>
      <c r="H11" s="288" t="s">
        <v>40</v>
      </c>
      <c r="I11" s="289"/>
      <c r="J11" s="288" t="s">
        <v>38</v>
      </c>
      <c r="K11" s="289"/>
      <c r="L11" s="288" t="s">
        <v>42</v>
      </c>
      <c r="M11" s="289"/>
      <c r="N11" s="288" t="s">
        <v>42</v>
      </c>
      <c r="O11" s="289"/>
      <c r="P11" s="288" t="s">
        <v>87</v>
      </c>
      <c r="Q11" s="289"/>
    </row>
    <row r="12" spans="2:17" ht="26.25" customHeight="1" x14ac:dyDescent="0.25">
      <c r="B12" s="4">
        <f>$C$5</f>
        <v>3502</v>
      </c>
      <c r="C12" s="8" t="s">
        <v>0</v>
      </c>
      <c r="D12" s="288"/>
      <c r="E12" s="289"/>
      <c r="F12" s="288" t="s">
        <v>44</v>
      </c>
      <c r="G12" s="289"/>
      <c r="H12" s="288" t="s">
        <v>44</v>
      </c>
      <c r="I12" s="289"/>
      <c r="J12" s="288" t="s">
        <v>45</v>
      </c>
      <c r="K12" s="289"/>
      <c r="L12" s="288" t="s">
        <v>44</v>
      </c>
      <c r="M12" s="289"/>
      <c r="N12" s="288" t="s">
        <v>44</v>
      </c>
      <c r="O12" s="289"/>
      <c r="P12" s="288" t="s">
        <v>44</v>
      </c>
      <c r="Q12" s="289"/>
    </row>
    <row r="13" spans="2:17" ht="26.25" customHeight="1" x14ac:dyDescent="0.25">
      <c r="B13" s="308" t="s">
        <v>22</v>
      </c>
      <c r="C13" s="8" t="s">
        <v>23</v>
      </c>
      <c r="D13" s="288" t="s">
        <v>45</v>
      </c>
      <c r="E13" s="289"/>
      <c r="F13" s="288"/>
      <c r="G13" s="289"/>
      <c r="H13" s="288"/>
      <c r="I13" s="289"/>
      <c r="J13" s="288"/>
      <c r="K13" s="289"/>
      <c r="L13" s="288"/>
      <c r="M13" s="289"/>
      <c r="N13" s="288"/>
      <c r="O13" s="289"/>
      <c r="P13" s="288"/>
      <c r="Q13" s="289"/>
    </row>
    <row r="14" spans="2:17" ht="26.25" customHeight="1" x14ac:dyDescent="0.25">
      <c r="B14" s="309"/>
      <c r="C14" s="8" t="s">
        <v>1</v>
      </c>
      <c r="D14" s="288"/>
      <c r="E14" s="289"/>
      <c r="F14" s="288" t="s">
        <v>85</v>
      </c>
      <c r="G14" s="289"/>
      <c r="H14" s="288" t="s">
        <v>87</v>
      </c>
      <c r="I14" s="289"/>
      <c r="J14" s="288" t="s">
        <v>39</v>
      </c>
      <c r="K14" s="289"/>
      <c r="L14" s="288" t="s">
        <v>71</v>
      </c>
      <c r="M14" s="289"/>
      <c r="N14" s="288" t="s">
        <v>83</v>
      </c>
      <c r="O14" s="289"/>
      <c r="P14" s="288" t="s">
        <v>42</v>
      </c>
      <c r="Q14" s="289"/>
    </row>
    <row r="15" spans="2:17" ht="26.25" customHeight="1" x14ac:dyDescent="0.25">
      <c r="B15" s="4">
        <f>$C$5</f>
        <v>3502</v>
      </c>
      <c r="C15" s="8" t="s">
        <v>32</v>
      </c>
      <c r="D15" s="288" t="s">
        <v>42</v>
      </c>
      <c r="E15" s="289"/>
      <c r="F15" s="288" t="s">
        <v>45</v>
      </c>
      <c r="G15" s="289"/>
      <c r="H15" s="288"/>
      <c r="I15" s="289"/>
      <c r="J15" s="288"/>
      <c r="K15" s="289"/>
      <c r="L15" s="288"/>
      <c r="M15" s="289"/>
      <c r="N15" s="288"/>
      <c r="O15" s="289"/>
      <c r="P15" s="288" t="s">
        <v>43</v>
      </c>
      <c r="Q15" s="289"/>
    </row>
    <row r="16" spans="2:17" ht="26.25" customHeight="1" x14ac:dyDescent="0.25">
      <c r="B16" s="308" t="s">
        <v>24</v>
      </c>
      <c r="C16" s="8" t="s">
        <v>27</v>
      </c>
      <c r="D16" s="288" t="s">
        <v>49</v>
      </c>
      <c r="E16" s="289"/>
      <c r="F16" s="288" t="s">
        <v>49</v>
      </c>
      <c r="G16" s="289"/>
      <c r="H16" s="288" t="s">
        <v>50</v>
      </c>
      <c r="I16" s="289"/>
      <c r="J16" s="288" t="s">
        <v>85</v>
      </c>
      <c r="K16" s="289"/>
      <c r="L16" s="288" t="s">
        <v>38</v>
      </c>
      <c r="M16" s="289"/>
      <c r="N16" s="288" t="s">
        <v>50</v>
      </c>
      <c r="O16" s="289"/>
      <c r="P16" s="288" t="s">
        <v>49</v>
      </c>
      <c r="Q16" s="289"/>
    </row>
    <row r="17" spans="2:18" ht="26.25" customHeight="1" x14ac:dyDescent="0.25">
      <c r="B17" s="309"/>
      <c r="C17" s="8" t="s">
        <v>25</v>
      </c>
      <c r="D17" s="288" t="s">
        <v>87</v>
      </c>
      <c r="E17" s="289"/>
      <c r="F17" s="288" t="s">
        <v>42</v>
      </c>
      <c r="G17" s="289"/>
      <c r="H17" s="288"/>
      <c r="I17" s="289"/>
      <c r="J17" s="288"/>
      <c r="K17" s="289"/>
      <c r="L17" s="288"/>
      <c r="M17" s="289"/>
      <c r="N17" s="288"/>
      <c r="O17" s="289"/>
      <c r="P17" s="288" t="s">
        <v>50</v>
      </c>
      <c r="Q17" s="289"/>
    </row>
    <row r="18" spans="2:18" ht="16.5" customHeight="1" x14ac:dyDescent="0.25">
      <c r="B18" s="4">
        <f>$C$5</f>
        <v>3502</v>
      </c>
      <c r="C18" s="310" t="s">
        <v>36</v>
      </c>
      <c r="D18" s="290" t="s">
        <v>41</v>
      </c>
      <c r="E18" s="291"/>
      <c r="F18" s="290"/>
      <c r="G18" s="291"/>
      <c r="H18" s="290"/>
      <c r="I18" s="291"/>
      <c r="J18" s="290"/>
      <c r="K18" s="291"/>
      <c r="L18" s="290"/>
      <c r="M18" s="291"/>
      <c r="N18" s="290"/>
      <c r="O18" s="291"/>
      <c r="P18" s="290" t="s">
        <v>40</v>
      </c>
      <c r="Q18" s="291"/>
    </row>
    <row r="19" spans="2:18" ht="15.75" x14ac:dyDescent="0.25">
      <c r="B19" s="83" t="s">
        <v>26</v>
      </c>
      <c r="C19" s="311"/>
      <c r="D19" s="292"/>
      <c r="E19" s="293"/>
      <c r="F19" s="292"/>
      <c r="G19" s="293"/>
      <c r="H19" s="292"/>
      <c r="I19" s="293"/>
      <c r="J19" s="292"/>
      <c r="K19" s="293"/>
      <c r="L19" s="292"/>
      <c r="M19" s="293"/>
      <c r="N19" s="292"/>
      <c r="O19" s="293"/>
      <c r="P19" s="292"/>
      <c r="Q19" s="293"/>
      <c r="R19" s="5"/>
    </row>
    <row r="20" spans="2:18" ht="26.25" customHeight="1" x14ac:dyDescent="0.25">
      <c r="B20" s="4">
        <f>$C$5</f>
        <v>3502</v>
      </c>
      <c r="C20" s="8" t="s">
        <v>0</v>
      </c>
      <c r="D20" s="288"/>
      <c r="E20" s="289"/>
      <c r="F20" s="288" t="s">
        <v>87</v>
      </c>
      <c r="G20" s="289"/>
      <c r="H20" s="288" t="s">
        <v>45</v>
      </c>
      <c r="I20" s="289"/>
      <c r="J20" s="288" t="s">
        <v>88</v>
      </c>
      <c r="K20" s="289"/>
      <c r="L20" s="288" t="s">
        <v>88</v>
      </c>
      <c r="M20" s="289"/>
      <c r="N20" s="288" t="s">
        <v>41</v>
      </c>
      <c r="O20" s="289"/>
      <c r="P20" s="288" t="s">
        <v>88</v>
      </c>
      <c r="Q20" s="289"/>
    </row>
    <row r="21" spans="2:18" ht="26.25" customHeight="1" x14ac:dyDescent="0.25">
      <c r="B21" s="308" t="s">
        <v>33</v>
      </c>
      <c r="C21" s="8" t="s">
        <v>23</v>
      </c>
      <c r="D21" s="288" t="s">
        <v>85</v>
      </c>
      <c r="E21" s="289"/>
      <c r="F21" s="288"/>
      <c r="G21" s="289"/>
      <c r="H21" s="288"/>
      <c r="I21" s="289"/>
      <c r="J21" s="288"/>
      <c r="K21" s="289"/>
      <c r="L21" s="288"/>
      <c r="M21" s="289"/>
      <c r="N21" s="288"/>
      <c r="O21" s="289"/>
      <c r="P21" s="288"/>
      <c r="Q21" s="289"/>
    </row>
    <row r="22" spans="2:18" ht="26.25" customHeight="1" x14ac:dyDescent="0.25">
      <c r="B22" s="308"/>
      <c r="C22" s="8" t="s">
        <v>1</v>
      </c>
      <c r="D22" s="288"/>
      <c r="E22" s="289"/>
      <c r="F22" s="288" t="s">
        <v>83</v>
      </c>
      <c r="G22" s="289"/>
      <c r="H22" s="288" t="s">
        <v>39</v>
      </c>
      <c r="I22" s="289"/>
      <c r="J22" s="288" t="s">
        <v>40</v>
      </c>
      <c r="K22" s="289"/>
      <c r="L22" s="288" t="s">
        <v>39</v>
      </c>
      <c r="M22" s="289"/>
      <c r="N22" s="288" t="s">
        <v>71</v>
      </c>
      <c r="O22" s="289"/>
      <c r="P22" s="288" t="s">
        <v>83</v>
      </c>
      <c r="Q22" s="289"/>
    </row>
    <row r="23" spans="2:18" ht="26.25" customHeight="1" x14ac:dyDescent="0.25">
      <c r="B23" s="4">
        <f>$C$5</f>
        <v>3502</v>
      </c>
      <c r="C23" s="8" t="s">
        <v>0</v>
      </c>
      <c r="D23" s="288"/>
      <c r="E23" s="289"/>
      <c r="F23" s="288" t="s">
        <v>43</v>
      </c>
      <c r="G23" s="289"/>
      <c r="H23" s="288" t="s">
        <v>88</v>
      </c>
      <c r="I23" s="289"/>
      <c r="J23" s="288" t="s">
        <v>43</v>
      </c>
      <c r="K23" s="289"/>
      <c r="L23" s="288" t="s">
        <v>43</v>
      </c>
      <c r="M23" s="289"/>
      <c r="N23" s="288" t="s">
        <v>43</v>
      </c>
      <c r="O23" s="289"/>
      <c r="P23" s="288" t="s">
        <v>39</v>
      </c>
      <c r="Q23" s="289"/>
    </row>
    <row r="24" spans="2:18" ht="26.25" customHeight="1" x14ac:dyDescent="0.25">
      <c r="B24" s="308" t="s">
        <v>70</v>
      </c>
      <c r="C24" s="8" t="s">
        <v>23</v>
      </c>
      <c r="D24" s="288" t="s">
        <v>40</v>
      </c>
      <c r="E24" s="289"/>
      <c r="F24" s="288"/>
      <c r="G24" s="289"/>
      <c r="H24" s="288"/>
      <c r="I24" s="289"/>
      <c r="J24" s="288"/>
      <c r="K24" s="289"/>
      <c r="L24" s="288"/>
      <c r="M24" s="289"/>
      <c r="N24" s="288"/>
      <c r="O24" s="289"/>
      <c r="P24" s="288"/>
      <c r="Q24" s="289"/>
    </row>
    <row r="25" spans="2:18" ht="26.25" customHeight="1" x14ac:dyDescent="0.25">
      <c r="B25" s="309"/>
      <c r="C25" s="8" t="s">
        <v>1</v>
      </c>
      <c r="D25" s="288"/>
      <c r="E25" s="289"/>
      <c r="F25" s="288" t="s">
        <v>40</v>
      </c>
      <c r="G25" s="289"/>
      <c r="H25" s="288" t="s">
        <v>85</v>
      </c>
      <c r="I25" s="289"/>
      <c r="J25" s="288" t="s">
        <v>71</v>
      </c>
      <c r="K25" s="289"/>
      <c r="L25" s="288" t="s">
        <v>83</v>
      </c>
      <c r="M25" s="289"/>
      <c r="N25" s="288" t="s">
        <v>49</v>
      </c>
      <c r="O25" s="289"/>
      <c r="P25" s="288" t="s">
        <v>49</v>
      </c>
      <c r="Q25" s="289"/>
    </row>
    <row r="26" spans="2:18" ht="26.25" customHeight="1" x14ac:dyDescent="0.25">
      <c r="B26" s="6" t="s">
        <v>34</v>
      </c>
      <c r="C26" s="310" t="s">
        <v>29</v>
      </c>
      <c r="D26" s="290" t="s">
        <v>51</v>
      </c>
      <c r="E26" s="291"/>
      <c r="F26" s="290" t="s">
        <v>49</v>
      </c>
      <c r="G26" s="291"/>
      <c r="H26" s="290" t="s">
        <v>49</v>
      </c>
      <c r="I26" s="291"/>
      <c r="J26" s="290" t="s">
        <v>51</v>
      </c>
      <c r="K26" s="291"/>
      <c r="L26" s="290" t="s">
        <v>51</v>
      </c>
      <c r="M26" s="291"/>
      <c r="N26" s="290" t="s">
        <v>51</v>
      </c>
      <c r="O26" s="291"/>
      <c r="P26" s="290" t="s">
        <v>51</v>
      </c>
      <c r="Q26" s="291"/>
    </row>
    <row r="27" spans="2:18" ht="26.25" customHeight="1" x14ac:dyDescent="0.25">
      <c r="B27" s="83" t="s">
        <v>35</v>
      </c>
      <c r="C27" s="311"/>
      <c r="D27" s="292"/>
      <c r="E27" s="293"/>
      <c r="F27" s="292"/>
      <c r="G27" s="293"/>
      <c r="H27" s="292"/>
      <c r="I27" s="293"/>
      <c r="J27" s="292"/>
      <c r="K27" s="293"/>
      <c r="L27" s="292"/>
      <c r="M27" s="293"/>
      <c r="N27" s="292"/>
      <c r="O27" s="293"/>
      <c r="P27" s="292"/>
      <c r="Q27" s="293"/>
    </row>
    <row r="28" spans="2:18" ht="15.75" x14ac:dyDescent="0.25"/>
    <row r="29" spans="2:18" ht="15.75" hidden="1" x14ac:dyDescent="0.25"/>
    <row r="30" spans="2:18" ht="15.75" hidden="1" x14ac:dyDescent="0.25"/>
    <row r="31" spans="2:18" ht="15.75" hidden="1" x14ac:dyDescent="0.25"/>
    <row r="32" spans="2:18" ht="15.75" hidden="1" x14ac:dyDescent="0.25"/>
    <row r="33" spans="2:13" ht="16.5" customHeight="1" x14ac:dyDescent="0.25"/>
    <row r="34" spans="2:13" ht="16.5" customHeight="1" x14ac:dyDescent="0.25"/>
    <row r="35" spans="2:13" ht="16.5" customHeight="1" x14ac:dyDescent="0.25"/>
    <row r="36" spans="2:13" ht="16.5" customHeight="1" x14ac:dyDescent="0.25"/>
    <row r="37" spans="2:13" s="19" customFormat="1" ht="16.5" customHeight="1" x14ac:dyDescent="0.25">
      <c r="B37" s="199" t="s">
        <v>115</v>
      </c>
      <c r="C37" s="196" t="s">
        <v>116</v>
      </c>
      <c r="D37" s="196"/>
      <c r="E37" s="196"/>
      <c r="F37" s="196"/>
      <c r="G37" s="196"/>
      <c r="H37" s="373" t="s">
        <v>125</v>
      </c>
      <c r="I37" s="373"/>
      <c r="J37" s="219" t="s">
        <v>126</v>
      </c>
      <c r="K37" s="198" t="s">
        <v>113</v>
      </c>
      <c r="L37" s="197" t="s">
        <v>114</v>
      </c>
      <c r="M37" s="196"/>
    </row>
  </sheetData>
  <mergeCells count="152">
    <mergeCell ref="P23:Q23"/>
    <mergeCell ref="H37:I37"/>
    <mergeCell ref="N26:O27"/>
    <mergeCell ref="P26:Q27"/>
    <mergeCell ref="C26:C27"/>
    <mergeCell ref="D26:E27"/>
    <mergeCell ref="F26:G27"/>
    <mergeCell ref="H26:I27"/>
    <mergeCell ref="J26:K27"/>
    <mergeCell ref="L26:M27"/>
    <mergeCell ref="D23:E23"/>
    <mergeCell ref="F23:G23"/>
    <mergeCell ref="H23:I23"/>
    <mergeCell ref="J23:K23"/>
    <mergeCell ref="L23:M23"/>
    <mergeCell ref="N23:O23"/>
    <mergeCell ref="B24:B25"/>
    <mergeCell ref="D24:E24"/>
    <mergeCell ref="F24:G24"/>
    <mergeCell ref="H24:I24"/>
    <mergeCell ref="J24:K24"/>
    <mergeCell ref="L24:M24"/>
    <mergeCell ref="N24:O24"/>
    <mergeCell ref="P24:Q24"/>
    <mergeCell ref="D25:E25"/>
    <mergeCell ref="F25:G25"/>
    <mergeCell ref="H25:I25"/>
    <mergeCell ref="J25:K25"/>
    <mergeCell ref="L25:M25"/>
    <mergeCell ref="N25:O25"/>
    <mergeCell ref="P25:Q25"/>
    <mergeCell ref="B21:B22"/>
    <mergeCell ref="D21:E21"/>
    <mergeCell ref="C18:C19"/>
    <mergeCell ref="D18:E19"/>
    <mergeCell ref="F18:G19"/>
    <mergeCell ref="H18:I19"/>
    <mergeCell ref="J18:K19"/>
    <mergeCell ref="L18:M19"/>
    <mergeCell ref="N21:O21"/>
    <mergeCell ref="J22:K22"/>
    <mergeCell ref="L22:M22"/>
    <mergeCell ref="N22:O22"/>
    <mergeCell ref="P21:Q21"/>
    <mergeCell ref="D22:E22"/>
    <mergeCell ref="F21:G21"/>
    <mergeCell ref="H21:I21"/>
    <mergeCell ref="J21:K21"/>
    <mergeCell ref="L21:M21"/>
    <mergeCell ref="N18:O19"/>
    <mergeCell ref="P18:Q19"/>
    <mergeCell ref="D20:E20"/>
    <mergeCell ref="F20:G20"/>
    <mergeCell ref="H20:I20"/>
    <mergeCell ref="J20:K20"/>
    <mergeCell ref="L20:M20"/>
    <mergeCell ref="N20:O20"/>
    <mergeCell ref="P20:Q20"/>
    <mergeCell ref="F22:G22"/>
    <mergeCell ref="H22:I22"/>
    <mergeCell ref="P22:Q22"/>
    <mergeCell ref="F17:G17"/>
    <mergeCell ref="H17:I17"/>
    <mergeCell ref="J17:K17"/>
    <mergeCell ref="L17:M17"/>
    <mergeCell ref="N17:O17"/>
    <mergeCell ref="P17:Q17"/>
    <mergeCell ref="P15:Q15"/>
    <mergeCell ref="B16:B17"/>
    <mergeCell ref="D16:E16"/>
    <mergeCell ref="F16:G16"/>
    <mergeCell ref="H16:I16"/>
    <mergeCell ref="J16:K16"/>
    <mergeCell ref="L16:M16"/>
    <mergeCell ref="N16:O16"/>
    <mergeCell ref="P16:Q16"/>
    <mergeCell ref="D17:E17"/>
    <mergeCell ref="D15:E15"/>
    <mergeCell ref="F15:G15"/>
    <mergeCell ref="H15:I15"/>
    <mergeCell ref="J15:K15"/>
    <mergeCell ref="L15:M15"/>
    <mergeCell ref="N15:O15"/>
    <mergeCell ref="F14:G14"/>
    <mergeCell ref="H14:I14"/>
    <mergeCell ref="J14:K14"/>
    <mergeCell ref="L14:M14"/>
    <mergeCell ref="N14:O14"/>
    <mergeCell ref="P14:Q14"/>
    <mergeCell ref="P12:Q12"/>
    <mergeCell ref="B13:B14"/>
    <mergeCell ref="D13:E13"/>
    <mergeCell ref="F13:G13"/>
    <mergeCell ref="H13:I13"/>
    <mergeCell ref="J13:K13"/>
    <mergeCell ref="L13:M13"/>
    <mergeCell ref="N13:O13"/>
    <mergeCell ref="P13:Q13"/>
    <mergeCell ref="D14:E14"/>
    <mergeCell ref="D12:E12"/>
    <mergeCell ref="F12:G12"/>
    <mergeCell ref="H12:I12"/>
    <mergeCell ref="J12:K12"/>
    <mergeCell ref="L12:M12"/>
    <mergeCell ref="N12:O12"/>
    <mergeCell ref="F11:G11"/>
    <mergeCell ref="H11:I11"/>
    <mergeCell ref="J11:K11"/>
    <mergeCell ref="L11:M11"/>
    <mergeCell ref="N11:O11"/>
    <mergeCell ref="P11:Q11"/>
    <mergeCell ref="P9:Q9"/>
    <mergeCell ref="B10:B11"/>
    <mergeCell ref="D10:E10"/>
    <mergeCell ref="F10:G10"/>
    <mergeCell ref="H10:I10"/>
    <mergeCell ref="J10:K10"/>
    <mergeCell ref="L10:M10"/>
    <mergeCell ref="N10:O10"/>
    <mergeCell ref="P10:Q10"/>
    <mergeCell ref="D11:E11"/>
    <mergeCell ref="D9:E9"/>
    <mergeCell ref="F9:G9"/>
    <mergeCell ref="H9:I9"/>
    <mergeCell ref="J9:K9"/>
    <mergeCell ref="L9:M9"/>
    <mergeCell ref="N9:O9"/>
    <mergeCell ref="B7:B8"/>
    <mergeCell ref="C7:C8"/>
    <mergeCell ref="D7:E7"/>
    <mergeCell ref="F7:G7"/>
    <mergeCell ref="H7:I7"/>
    <mergeCell ref="J7:K7"/>
    <mergeCell ref="L7:M7"/>
    <mergeCell ref="N7:O7"/>
    <mergeCell ref="P7:Q7"/>
    <mergeCell ref="D8:E8"/>
    <mergeCell ref="F8:G8"/>
    <mergeCell ref="H8:I8"/>
    <mergeCell ref="J8:K8"/>
    <mergeCell ref="L8:M8"/>
    <mergeCell ref="N8:O8"/>
    <mergeCell ref="P8:Q8"/>
    <mergeCell ref="D2:G2"/>
    <mergeCell ref="L2:M2"/>
    <mergeCell ref="N2:O2"/>
    <mergeCell ref="P2:Q2"/>
    <mergeCell ref="D4:G4"/>
    <mergeCell ref="H4:J4"/>
    <mergeCell ref="D5:G5"/>
    <mergeCell ref="H5:J5"/>
    <mergeCell ref="K5:L5"/>
  </mergeCells>
  <dataValidations count="2">
    <dataValidation type="list" allowBlank="1" showInputMessage="1" showErrorMessage="1" sqref="C9:C27" xr:uid="{00000000-0002-0000-0600-000000000000}">
      <formula1>Timer</formula1>
    </dataValidation>
    <dataValidation type="list" allowBlank="1" showInputMessage="1" showErrorMessage="1" sqref="D9:Q27" xr:uid="{00000000-0002-0000-0600-000001000000}">
      <formula1>List_Guard</formula1>
    </dataValidation>
  </dataValidations>
  <hyperlinks>
    <hyperlink ref="H37" r:id="rId1" xr:uid="{EFD70040-3FB6-4E2B-B553-825BCC8A200A}"/>
  </hyperlinks>
  <pageMargins left="0.64" right="0.52" top="0.75" bottom="0.59" header="0.3" footer="0.3"/>
  <pageSetup scale="77" orientation="landscape" horizontalDpi="4294967292"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tabColor rgb="FFFFECEB"/>
    <pageSetUpPr fitToPage="1"/>
  </sheetPr>
  <dimension ref="A1:M39"/>
  <sheetViews>
    <sheetView showGridLines="0" zoomScale="90" zoomScaleNormal="90" zoomScaleSheetLayoutView="46" workbookViewId="0" xr3:uid="{85D5C41F-068E-5C55-9968-509E7C2A5619}">
      <pane xSplit="3" ySplit="8" topLeftCell="D35" activePane="bottomRight" state="frozen"/>
      <selection pane="bottomLeft" activeCell="A2" sqref="A2"/>
      <selection pane="topRight" activeCell="C1" sqref="C1"/>
      <selection pane="bottomRight" activeCell="A39" sqref="A39:XFD39"/>
    </sheetView>
  </sheetViews>
  <sheetFormatPr defaultColWidth="0" defaultRowHeight="0" customHeight="1" zeroHeight="1" x14ac:dyDescent="0.25"/>
  <cols>
    <col min="1" max="1" width="2.04296875" customWidth="1"/>
    <col min="2" max="2" width="21.6796875" customWidth="1"/>
    <col min="3" max="3" width="12.26953125" style="91" customWidth="1"/>
    <col min="4" max="4" width="16.76953125" style="17" customWidth="1"/>
    <col min="5" max="9" width="16.76953125" customWidth="1"/>
    <col min="10" max="10" width="18.26953125" bestFit="1" customWidth="1"/>
    <col min="11" max="11" width="2.7265625" style="19" customWidth="1"/>
    <col min="12" max="16384" width="9.953125" hidden="1"/>
  </cols>
  <sheetData>
    <row r="1" spans="2:12" ht="33" customHeight="1" x14ac:dyDescent="0.25">
      <c r="B1" s="19"/>
      <c r="C1" s="20"/>
      <c r="D1" s="114"/>
      <c r="E1" s="19"/>
      <c r="F1" s="19"/>
      <c r="G1" s="19"/>
      <c r="H1" s="19"/>
      <c r="I1" s="19"/>
      <c r="J1" s="103"/>
      <c r="K1" s="103"/>
    </row>
    <row r="2" spans="2:12" ht="24.75" customHeight="1" x14ac:dyDescent="0.25">
      <c r="B2" s="89"/>
      <c r="C2" s="89"/>
      <c r="D2" s="355" t="s">
        <v>18</v>
      </c>
      <c r="E2" s="355"/>
      <c r="F2" s="121"/>
      <c r="G2" s="102" t="s">
        <v>17</v>
      </c>
      <c r="H2" s="103">
        <f>IF((D8),D8," ")</f>
        <v>43261</v>
      </c>
      <c r="I2" s="122" t="s">
        <v>16</v>
      </c>
      <c r="J2" s="103">
        <f>J8</f>
        <v>43267</v>
      </c>
      <c r="L2" s="113"/>
    </row>
    <row r="3" spans="2:12" ht="15.75" x14ac:dyDescent="0.25">
      <c r="B3" s="89"/>
      <c r="C3" s="89"/>
      <c r="D3" s="104"/>
      <c r="E3" s="104"/>
      <c r="F3" s="104"/>
      <c r="G3" s="104"/>
      <c r="H3" s="103"/>
      <c r="I3" s="102"/>
      <c r="J3" s="103"/>
    </row>
    <row r="4" spans="2:12" ht="21" x14ac:dyDescent="0.25">
      <c r="B4" s="89" t="s">
        <v>13</v>
      </c>
      <c r="C4" s="89">
        <f>Employeed!C38</f>
        <v>60029</v>
      </c>
      <c r="D4" s="356" t="s">
        <v>15</v>
      </c>
      <c r="E4" s="356"/>
      <c r="F4" s="24" t="s">
        <v>14</v>
      </c>
      <c r="G4" s="24"/>
      <c r="H4" s="24"/>
      <c r="I4" s="104"/>
      <c r="J4" s="104"/>
    </row>
    <row r="5" spans="2:12" ht="15.75" x14ac:dyDescent="0.25">
      <c r="B5" s="89" t="s">
        <v>13</v>
      </c>
      <c r="C5" s="89">
        <f>Employeed!D1</f>
        <v>3502</v>
      </c>
      <c r="D5" s="105"/>
      <c r="E5" s="105"/>
      <c r="F5" s="24" t="s">
        <v>12</v>
      </c>
      <c r="G5" s="115" t="str">
        <f>Employeed!C39</f>
        <v>(505) 344-1900</v>
      </c>
      <c r="H5" s="24"/>
      <c r="I5" s="24"/>
      <c r="J5" s="115"/>
    </row>
    <row r="6" spans="2:12" ht="12" customHeight="1" x14ac:dyDescent="0.25">
      <c r="B6" s="89"/>
      <c r="C6" s="89"/>
      <c r="D6" s="105"/>
      <c r="E6" s="105"/>
      <c r="F6" s="104"/>
      <c r="G6" s="26"/>
      <c r="H6" s="26"/>
      <c r="I6" s="104"/>
      <c r="J6" s="104"/>
    </row>
    <row r="7" spans="2:12" ht="16.5" customHeight="1" x14ac:dyDescent="0.25">
      <c r="B7" s="314" t="s">
        <v>30</v>
      </c>
      <c r="C7" s="314" t="s">
        <v>31</v>
      </c>
      <c r="D7" s="95" t="s">
        <v>10</v>
      </c>
      <c r="E7" s="96" t="s">
        <v>9</v>
      </c>
      <c r="F7" s="97" t="s">
        <v>8</v>
      </c>
      <c r="G7" s="98" t="s">
        <v>7</v>
      </c>
      <c r="H7" s="99" t="s">
        <v>94</v>
      </c>
      <c r="I7" s="100" t="s">
        <v>5</v>
      </c>
      <c r="J7" s="101" t="s">
        <v>4</v>
      </c>
    </row>
    <row r="8" spans="2:12" s="2" customFormat="1" ht="16.5" customHeight="1" x14ac:dyDescent="0.25">
      <c r="B8" s="315"/>
      <c r="C8" s="315"/>
      <c r="D8" s="106">
        <v>43261</v>
      </c>
      <c r="E8" s="107">
        <f t="shared" ref="E8:J8" si="0">D8+1</f>
        <v>43262</v>
      </c>
      <c r="F8" s="108">
        <f t="shared" si="0"/>
        <v>43263</v>
      </c>
      <c r="G8" s="109">
        <f t="shared" si="0"/>
        <v>43264</v>
      </c>
      <c r="H8" s="110">
        <f t="shared" si="0"/>
        <v>43265</v>
      </c>
      <c r="I8" s="111">
        <f t="shared" si="0"/>
        <v>43266</v>
      </c>
      <c r="J8" s="112">
        <f t="shared" si="0"/>
        <v>43267</v>
      </c>
      <c r="K8" s="117"/>
    </row>
    <row r="9" spans="2:12" ht="26.25" customHeight="1" x14ac:dyDescent="0.25">
      <c r="B9" s="4">
        <f>$C$5</f>
        <v>3502</v>
      </c>
      <c r="C9" s="8" t="s">
        <v>0</v>
      </c>
      <c r="D9" s="92"/>
      <c r="E9" s="92" t="s">
        <v>88</v>
      </c>
      <c r="F9" s="92" t="s">
        <v>41</v>
      </c>
      <c r="G9" s="92" t="s">
        <v>41</v>
      </c>
      <c r="H9" s="92" t="s">
        <v>41</v>
      </c>
      <c r="I9" s="123" t="s">
        <v>38</v>
      </c>
      <c r="J9" s="116" t="s">
        <v>93</v>
      </c>
    </row>
    <row r="10" spans="2:12" ht="26.25" customHeight="1" x14ac:dyDescent="0.25">
      <c r="B10" s="308" t="s">
        <v>3</v>
      </c>
      <c r="C10" s="8" t="s">
        <v>92</v>
      </c>
      <c r="D10" s="92" t="s">
        <v>93</v>
      </c>
      <c r="E10" s="92"/>
      <c r="F10" s="92"/>
      <c r="G10" s="92"/>
      <c r="H10" s="92"/>
      <c r="I10" s="92"/>
      <c r="J10" s="116"/>
    </row>
    <row r="11" spans="2:12" ht="26.25" customHeight="1" x14ac:dyDescent="0.25">
      <c r="B11" s="308"/>
      <c r="C11" s="8" t="s">
        <v>23</v>
      </c>
      <c r="D11" s="92" t="s">
        <v>49</v>
      </c>
      <c r="E11" s="92"/>
      <c r="F11" s="92"/>
      <c r="G11" s="92"/>
      <c r="H11" s="92"/>
      <c r="I11" s="92"/>
      <c r="J11" s="116"/>
    </row>
    <row r="12" spans="2:12" ht="26.25" customHeight="1" x14ac:dyDescent="0.25">
      <c r="B12" s="308"/>
      <c r="C12" s="8" t="s">
        <v>1</v>
      </c>
      <c r="D12" s="92" t="s">
        <v>83</v>
      </c>
      <c r="E12" s="92"/>
      <c r="F12" s="92"/>
      <c r="G12" s="92"/>
      <c r="H12" s="92"/>
      <c r="I12" s="92"/>
      <c r="J12" s="116"/>
    </row>
    <row r="13" spans="2:12" ht="26.25" customHeight="1" x14ac:dyDescent="0.25">
      <c r="B13" s="309"/>
      <c r="C13" s="8" t="s">
        <v>1</v>
      </c>
      <c r="D13" s="92"/>
      <c r="E13" s="92" t="s">
        <v>39</v>
      </c>
      <c r="F13" s="92" t="s">
        <v>40</v>
      </c>
      <c r="G13" s="92" t="s">
        <v>87</v>
      </c>
      <c r="H13" s="92" t="s">
        <v>42</v>
      </c>
      <c r="I13" s="92" t="s">
        <v>42</v>
      </c>
      <c r="J13" s="116" t="s">
        <v>42</v>
      </c>
    </row>
    <row r="14" spans="2:12" ht="26.25" customHeight="1" x14ac:dyDescent="0.25">
      <c r="B14" s="4">
        <f>$C$5</f>
        <v>3502</v>
      </c>
      <c r="C14" s="8" t="s">
        <v>0</v>
      </c>
      <c r="D14" s="92"/>
      <c r="E14" s="92" t="s">
        <v>44</v>
      </c>
      <c r="F14" s="92" t="s">
        <v>44</v>
      </c>
      <c r="G14" s="92" t="s">
        <v>45</v>
      </c>
      <c r="H14" s="92" t="s">
        <v>44</v>
      </c>
      <c r="I14" s="92" t="s">
        <v>44</v>
      </c>
      <c r="J14" s="116" t="s">
        <v>44</v>
      </c>
    </row>
    <row r="15" spans="2:12" ht="26.25" customHeight="1" x14ac:dyDescent="0.25">
      <c r="B15" s="308" t="s">
        <v>22</v>
      </c>
      <c r="C15" s="8" t="s">
        <v>23</v>
      </c>
      <c r="D15" s="92" t="s">
        <v>45</v>
      </c>
      <c r="E15" s="92"/>
      <c r="F15" s="92"/>
      <c r="G15" s="92"/>
      <c r="H15" s="92"/>
      <c r="I15" s="92"/>
      <c r="J15" s="116"/>
    </row>
    <row r="16" spans="2:12" ht="26.25" customHeight="1" x14ac:dyDescent="0.25">
      <c r="B16" s="309"/>
      <c r="C16" s="8" t="s">
        <v>1</v>
      </c>
      <c r="D16" s="92"/>
      <c r="E16" s="92" t="s">
        <v>71</v>
      </c>
      <c r="F16" s="92" t="s">
        <v>85</v>
      </c>
      <c r="G16" s="92" t="s">
        <v>39</v>
      </c>
      <c r="H16" s="92" t="s">
        <v>71</v>
      </c>
      <c r="I16" s="92" t="s">
        <v>83</v>
      </c>
      <c r="J16" s="116" t="s">
        <v>83</v>
      </c>
    </row>
    <row r="17" spans="2:11" ht="26.25" customHeight="1" x14ac:dyDescent="0.25">
      <c r="B17" s="4">
        <f>$C$5</f>
        <v>3502</v>
      </c>
      <c r="C17" s="8" t="s">
        <v>32</v>
      </c>
      <c r="D17" s="92" t="s">
        <v>42</v>
      </c>
      <c r="E17" s="92" t="s">
        <v>45</v>
      </c>
      <c r="F17" s="92"/>
      <c r="G17" s="92"/>
      <c r="H17" s="92"/>
      <c r="I17" s="92"/>
      <c r="J17" s="116" t="s">
        <v>43</v>
      </c>
    </row>
    <row r="18" spans="2:11" ht="26.25" customHeight="1" x14ac:dyDescent="0.25">
      <c r="B18" s="308" t="s">
        <v>24</v>
      </c>
      <c r="C18" s="8" t="s">
        <v>27</v>
      </c>
      <c r="D18" s="92" t="s">
        <v>49</v>
      </c>
      <c r="E18" s="92"/>
      <c r="F18" s="92" t="s">
        <v>50</v>
      </c>
      <c r="G18" s="92" t="s">
        <v>85</v>
      </c>
      <c r="H18" s="92" t="s">
        <v>50</v>
      </c>
      <c r="I18" s="92" t="s">
        <v>50</v>
      </c>
      <c r="J18" s="116" t="s">
        <v>49</v>
      </c>
    </row>
    <row r="19" spans="2:11" ht="26.25" customHeight="1" x14ac:dyDescent="0.25">
      <c r="B19" s="309"/>
      <c r="C19" s="8" t="s">
        <v>25</v>
      </c>
      <c r="D19" s="92" t="s">
        <v>87</v>
      </c>
      <c r="E19" s="92" t="s">
        <v>42</v>
      </c>
      <c r="F19" s="92"/>
      <c r="G19" s="92"/>
      <c r="H19" s="92"/>
      <c r="I19" s="92"/>
      <c r="J19" s="116" t="s">
        <v>50</v>
      </c>
    </row>
    <row r="20" spans="2:11" ht="16.5" customHeight="1" x14ac:dyDescent="0.25">
      <c r="B20" s="4">
        <f>$C$5</f>
        <v>3502</v>
      </c>
      <c r="C20" s="310" t="s">
        <v>36</v>
      </c>
      <c r="D20" s="93" t="s">
        <v>41</v>
      </c>
      <c r="E20" s="93"/>
      <c r="F20" s="93"/>
      <c r="G20" s="93"/>
      <c r="H20" s="93"/>
      <c r="I20" s="93"/>
      <c r="J20" s="119" t="s">
        <v>40</v>
      </c>
    </row>
    <row r="21" spans="2:11" ht="15.75" x14ac:dyDescent="0.25">
      <c r="B21" s="90" t="s">
        <v>26</v>
      </c>
      <c r="C21" s="311"/>
      <c r="D21" s="94"/>
      <c r="E21" s="94"/>
      <c r="F21" s="94"/>
      <c r="G21" s="94"/>
      <c r="H21" s="94"/>
      <c r="I21" s="94"/>
      <c r="J21" s="120"/>
      <c r="K21" s="118"/>
    </row>
    <row r="22" spans="2:11" ht="26.25" customHeight="1" x14ac:dyDescent="0.25">
      <c r="B22" s="4">
        <f>$C$5</f>
        <v>3502</v>
      </c>
      <c r="C22" s="8" t="s">
        <v>0</v>
      </c>
      <c r="D22" s="92"/>
      <c r="E22" s="92" t="s">
        <v>87</v>
      </c>
      <c r="F22" s="92" t="s">
        <v>45</v>
      </c>
      <c r="G22" s="92" t="s">
        <v>88</v>
      </c>
      <c r="H22" s="92" t="s">
        <v>88</v>
      </c>
      <c r="I22" s="92" t="s">
        <v>41</v>
      </c>
      <c r="J22" s="116" t="s">
        <v>88</v>
      </c>
    </row>
    <row r="23" spans="2:11" ht="26.25" customHeight="1" x14ac:dyDescent="0.25">
      <c r="B23" s="308" t="s">
        <v>33</v>
      </c>
      <c r="C23" s="8" t="s">
        <v>23</v>
      </c>
      <c r="D23" s="92" t="s">
        <v>85</v>
      </c>
      <c r="E23" s="92"/>
      <c r="F23" s="92"/>
      <c r="G23" s="92"/>
      <c r="H23" s="92"/>
      <c r="I23" s="92"/>
      <c r="J23" s="116"/>
    </row>
    <row r="24" spans="2:11" ht="26.25" customHeight="1" x14ac:dyDescent="0.25">
      <c r="B24" s="308"/>
      <c r="C24" s="8" t="s">
        <v>1</v>
      </c>
      <c r="D24" s="92"/>
      <c r="E24" s="92" t="s">
        <v>83</v>
      </c>
      <c r="F24" s="92" t="s">
        <v>39</v>
      </c>
      <c r="G24" s="92" t="s">
        <v>40</v>
      </c>
      <c r="H24" s="92" t="s">
        <v>39</v>
      </c>
      <c r="I24" s="92" t="s">
        <v>71</v>
      </c>
      <c r="J24" s="116" t="s">
        <v>87</v>
      </c>
    </row>
    <row r="25" spans="2:11" ht="26.25" customHeight="1" x14ac:dyDescent="0.25">
      <c r="B25" s="4">
        <f>$C$5</f>
        <v>3502</v>
      </c>
      <c r="C25" s="8" t="s">
        <v>0</v>
      </c>
      <c r="D25" s="92"/>
      <c r="E25" s="92" t="s">
        <v>43</v>
      </c>
      <c r="F25" s="92" t="s">
        <v>88</v>
      </c>
      <c r="G25" s="92" t="s">
        <v>43</v>
      </c>
      <c r="H25" s="92" t="s">
        <v>43</v>
      </c>
      <c r="I25" s="92" t="s">
        <v>43</v>
      </c>
      <c r="J25" s="116" t="s">
        <v>39</v>
      </c>
    </row>
    <row r="26" spans="2:11" ht="26.25" customHeight="1" x14ac:dyDescent="0.25">
      <c r="B26" s="308" t="s">
        <v>70</v>
      </c>
      <c r="C26" s="8" t="s">
        <v>23</v>
      </c>
      <c r="D26" s="92" t="s">
        <v>40</v>
      </c>
      <c r="E26" s="92"/>
      <c r="F26" s="92"/>
      <c r="G26" s="92"/>
      <c r="H26" s="92"/>
      <c r="I26" s="92"/>
      <c r="J26" s="116"/>
    </row>
    <row r="27" spans="2:11" ht="26.25" customHeight="1" x14ac:dyDescent="0.25">
      <c r="B27" s="309"/>
      <c r="C27" s="8" t="s">
        <v>1</v>
      </c>
      <c r="D27" s="92"/>
      <c r="E27" s="92" t="s">
        <v>40</v>
      </c>
      <c r="F27" s="92" t="s">
        <v>71</v>
      </c>
      <c r="G27" s="92" t="s">
        <v>71</v>
      </c>
      <c r="H27" s="92" t="s">
        <v>83</v>
      </c>
      <c r="I27" s="92" t="s">
        <v>87</v>
      </c>
      <c r="J27" s="116" t="s">
        <v>49</v>
      </c>
    </row>
    <row r="28" spans="2:11" ht="26.25" customHeight="1" x14ac:dyDescent="0.25">
      <c r="B28" s="6" t="s">
        <v>34</v>
      </c>
      <c r="C28" s="310" t="s">
        <v>29</v>
      </c>
      <c r="D28" s="362" t="s">
        <v>51</v>
      </c>
      <c r="E28" s="362" t="s">
        <v>49</v>
      </c>
      <c r="F28" s="362" t="s">
        <v>51</v>
      </c>
      <c r="G28" s="362" t="s">
        <v>51</v>
      </c>
      <c r="H28" s="362" t="s">
        <v>49</v>
      </c>
      <c r="I28" s="362" t="s">
        <v>51</v>
      </c>
      <c r="J28" s="362" t="s">
        <v>51</v>
      </c>
    </row>
    <row r="29" spans="2:11" ht="18" customHeight="1" x14ac:dyDescent="0.25">
      <c r="B29" s="90" t="s">
        <v>35</v>
      </c>
      <c r="C29" s="311"/>
      <c r="D29" s="363"/>
      <c r="E29" s="363"/>
      <c r="F29" s="363"/>
      <c r="G29" s="363"/>
      <c r="H29" s="363"/>
      <c r="I29" s="363"/>
      <c r="J29" s="363"/>
    </row>
    <row r="30" spans="2:11" ht="15.75" x14ac:dyDescent="0.25"/>
    <row r="31" spans="2:11" ht="16.5" hidden="1" customHeight="1" x14ac:dyDescent="0.25"/>
    <row r="32" spans="2:11" ht="16.5" hidden="1" customHeight="1" x14ac:dyDescent="0.25"/>
    <row r="33" spans="2:13" ht="16.5" hidden="1" customHeight="1" x14ac:dyDescent="0.25"/>
    <row r="34" spans="2:13" ht="16.5" hidden="1" customHeight="1" x14ac:dyDescent="0.25"/>
    <row r="35" spans="2:13" ht="16.5" customHeight="1" x14ac:dyDescent="0.25"/>
    <row r="36" spans="2:13" ht="16.5" customHeight="1" x14ac:dyDescent="0.25"/>
    <row r="37" spans="2:13" ht="16.5" customHeight="1" x14ac:dyDescent="0.25"/>
    <row r="38" spans="2:13" ht="16.5" customHeight="1" x14ac:dyDescent="0.25"/>
    <row r="39" spans="2:13" s="19" customFormat="1" ht="16.5" customHeight="1" x14ac:dyDescent="0.25">
      <c r="B39" s="199" t="s">
        <v>115</v>
      </c>
      <c r="C39" s="196" t="s">
        <v>116</v>
      </c>
      <c r="D39" s="196"/>
      <c r="E39" s="196"/>
      <c r="F39" s="196"/>
      <c r="G39" s="196"/>
      <c r="H39" s="373" t="s">
        <v>125</v>
      </c>
      <c r="I39" s="373"/>
      <c r="J39" s="219" t="s">
        <v>126</v>
      </c>
      <c r="K39" s="198" t="s">
        <v>113</v>
      </c>
      <c r="L39" s="197" t="s">
        <v>114</v>
      </c>
      <c r="M39" s="196"/>
    </row>
  </sheetData>
  <mergeCells count="19">
    <mergeCell ref="J28:J29"/>
    <mergeCell ref="D28:D29"/>
    <mergeCell ref="E28:E29"/>
    <mergeCell ref="F28:F29"/>
    <mergeCell ref="D2:E2"/>
    <mergeCell ref="D4:E4"/>
    <mergeCell ref="H39:I39"/>
    <mergeCell ref="G28:G29"/>
    <mergeCell ref="H28:H29"/>
    <mergeCell ref="I28:I29"/>
    <mergeCell ref="B7:B8"/>
    <mergeCell ref="C7:C8"/>
    <mergeCell ref="B15:B16"/>
    <mergeCell ref="B18:B19"/>
    <mergeCell ref="C20:C21"/>
    <mergeCell ref="B26:B27"/>
    <mergeCell ref="B23:B24"/>
    <mergeCell ref="C28:C29"/>
    <mergeCell ref="B10:B13"/>
  </mergeCells>
  <dataValidations count="2">
    <dataValidation type="list" allowBlank="1" showInputMessage="1" showErrorMessage="1" sqref="D9:J28" xr:uid="{00000000-0002-0000-0700-000000000000}">
      <formula1>List_Guard</formula1>
    </dataValidation>
    <dataValidation type="list" allowBlank="1" showInputMessage="1" showErrorMessage="1" sqref="C9:C29" xr:uid="{00000000-0002-0000-0700-000001000000}">
      <formula1>Timer</formula1>
    </dataValidation>
  </dataValidations>
  <hyperlinks>
    <hyperlink ref="H39" r:id="rId1" xr:uid="{2C37B5C8-60CA-481D-9121-47D402B5510A}"/>
  </hyperlinks>
  <pageMargins left="0.64" right="0.52" top="0.75" bottom="0.59" header="0.3" footer="0.3"/>
  <pageSetup scale="74" orientation="landscape" horizontalDpi="4294967292"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B9ABD-F526-6F40-804F-BD141F034C99}">
  <sheetPr codeName="Hoja11">
    <tabColor rgb="FFFFFFC1"/>
    <pageSetUpPr fitToPage="1"/>
  </sheetPr>
  <dimension ref="B1:XFC39"/>
  <sheetViews>
    <sheetView showGridLines="0" zoomScale="90" zoomScaleNormal="90" zoomScaleSheetLayoutView="46" workbookViewId="0" xr3:uid="{E8BA0E91-BE10-5C2B-9FEF-33DC7A8BF1AF}">
      <pane xSplit="3" ySplit="8" topLeftCell="D30" activePane="bottomRight" state="frozen"/>
      <selection pane="bottomLeft" activeCell="A2" sqref="A2"/>
      <selection pane="topRight" activeCell="C1" sqref="C1"/>
      <selection pane="bottomRight" activeCell="A39" sqref="A39:XFD39"/>
    </sheetView>
  </sheetViews>
  <sheetFormatPr defaultColWidth="0" defaultRowHeight="0" customHeight="1" zeroHeight="1" x14ac:dyDescent="0.25"/>
  <cols>
    <col min="1" max="1" width="2.04296875" customWidth="1"/>
    <col min="2" max="2" width="21.6796875" customWidth="1"/>
    <col min="3" max="3" width="12.26953125" style="147" customWidth="1"/>
    <col min="4" max="4" width="16.76953125" style="17" customWidth="1"/>
    <col min="5" max="9" width="16.76953125" customWidth="1"/>
    <col min="10" max="10" width="18.26953125" bestFit="1" customWidth="1"/>
    <col min="11" max="11" width="2.7265625" style="19" customWidth="1"/>
    <col min="12" max="16383" width="9.953125" hidden="1"/>
    <col min="16384" max="16384" width="0.26953125" customWidth="1"/>
  </cols>
  <sheetData>
    <row r="1" spans="2:12" ht="33" customHeight="1" x14ac:dyDescent="0.25">
      <c r="B1" s="19"/>
      <c r="C1" s="20"/>
      <c r="D1" s="114"/>
      <c r="E1" s="19"/>
      <c r="F1" s="19"/>
      <c r="G1" s="19"/>
      <c r="H1" s="19"/>
      <c r="I1" s="19"/>
      <c r="J1" s="137"/>
      <c r="K1" s="137"/>
    </row>
    <row r="2" spans="2:12" ht="24.75" customHeight="1" x14ac:dyDescent="0.25">
      <c r="B2" s="138"/>
      <c r="C2" s="138"/>
      <c r="D2" s="355" t="s">
        <v>18</v>
      </c>
      <c r="E2" s="355"/>
      <c r="F2" s="121"/>
      <c r="G2" s="136" t="s">
        <v>17</v>
      </c>
      <c r="H2" s="137">
        <f>IF((D8),D8," ")</f>
        <v>43268</v>
      </c>
      <c r="I2" s="122" t="s">
        <v>16</v>
      </c>
      <c r="J2" s="137">
        <f>J8</f>
        <v>43274</v>
      </c>
      <c r="L2" s="113"/>
    </row>
    <row r="3" spans="2:12" ht="15.75" x14ac:dyDescent="0.25">
      <c r="B3" s="138"/>
      <c r="C3" s="138"/>
      <c r="D3" s="138"/>
      <c r="E3" s="138"/>
      <c r="F3" s="138"/>
      <c r="G3" s="138"/>
      <c r="H3" s="137"/>
      <c r="I3" s="136"/>
      <c r="J3" s="137"/>
    </row>
    <row r="4" spans="2:12" ht="21" x14ac:dyDescent="0.25">
      <c r="B4" s="138" t="s">
        <v>13</v>
      </c>
      <c r="C4" s="138">
        <f>Employeed!C38</f>
        <v>60029</v>
      </c>
      <c r="D4" s="356" t="s">
        <v>15</v>
      </c>
      <c r="E4" s="356"/>
      <c r="F4" s="24" t="s">
        <v>14</v>
      </c>
      <c r="G4" s="24"/>
      <c r="H4" s="24"/>
      <c r="I4" s="138"/>
      <c r="J4" s="138"/>
    </row>
    <row r="5" spans="2:12" ht="15.75" x14ac:dyDescent="0.25">
      <c r="B5" s="138" t="s">
        <v>13</v>
      </c>
      <c r="C5" s="138">
        <f>Employeed!D1</f>
        <v>3502</v>
      </c>
      <c r="D5" s="139"/>
      <c r="E5" s="139"/>
      <c r="F5" s="24" t="s">
        <v>12</v>
      </c>
      <c r="G5" s="115" t="str">
        <f>Employeed!C39</f>
        <v>(505) 344-1900</v>
      </c>
      <c r="H5" s="24"/>
      <c r="I5" s="24"/>
      <c r="J5" s="115"/>
    </row>
    <row r="6" spans="2:12" ht="12" customHeight="1" x14ac:dyDescent="0.25">
      <c r="B6" s="138"/>
      <c r="C6" s="138"/>
      <c r="D6" s="139"/>
      <c r="E6" s="139"/>
      <c r="F6" s="138"/>
      <c r="G6" s="26"/>
      <c r="H6" s="26"/>
      <c r="I6" s="138"/>
      <c r="J6" s="138"/>
    </row>
    <row r="7" spans="2:12" ht="16.5" customHeight="1" x14ac:dyDescent="0.25">
      <c r="B7" s="314" t="s">
        <v>30</v>
      </c>
      <c r="C7" s="314" t="s">
        <v>31</v>
      </c>
      <c r="D7" s="128" t="s">
        <v>10</v>
      </c>
      <c r="E7" s="129" t="s">
        <v>9</v>
      </c>
      <c r="F7" s="130" t="s">
        <v>8</v>
      </c>
      <c r="G7" s="131" t="s">
        <v>7</v>
      </c>
      <c r="H7" s="132" t="s">
        <v>94</v>
      </c>
      <c r="I7" s="133" t="s">
        <v>5</v>
      </c>
      <c r="J7" s="134" t="s">
        <v>4</v>
      </c>
    </row>
    <row r="8" spans="2:12" s="2" customFormat="1" ht="16.5" customHeight="1" x14ac:dyDescent="0.25">
      <c r="B8" s="315"/>
      <c r="C8" s="315"/>
      <c r="D8" s="140">
        <v>43268</v>
      </c>
      <c r="E8" s="141">
        <f t="shared" ref="E8:J8" si="0">D8+1</f>
        <v>43269</v>
      </c>
      <c r="F8" s="142">
        <f t="shared" si="0"/>
        <v>43270</v>
      </c>
      <c r="G8" s="143">
        <f t="shared" si="0"/>
        <v>43271</v>
      </c>
      <c r="H8" s="144">
        <f t="shared" si="0"/>
        <v>43272</v>
      </c>
      <c r="I8" s="145">
        <f t="shared" si="0"/>
        <v>43273</v>
      </c>
      <c r="J8" s="146">
        <f t="shared" si="0"/>
        <v>43274</v>
      </c>
      <c r="K8" s="117"/>
    </row>
    <row r="9" spans="2:12" ht="26.25" customHeight="1" x14ac:dyDescent="0.25">
      <c r="B9" s="4">
        <f>$C$5</f>
        <v>3502</v>
      </c>
      <c r="C9" s="8" t="s">
        <v>0</v>
      </c>
      <c r="D9" s="125"/>
      <c r="E9" s="125" t="s">
        <v>88</v>
      </c>
      <c r="F9" s="125" t="s">
        <v>41</v>
      </c>
      <c r="G9" s="125" t="s">
        <v>41</v>
      </c>
      <c r="H9" s="125" t="s">
        <v>41</v>
      </c>
      <c r="I9" s="125" t="s">
        <v>85</v>
      </c>
      <c r="J9" s="116" t="s">
        <v>93</v>
      </c>
    </row>
    <row r="10" spans="2:12" ht="26.25" customHeight="1" x14ac:dyDescent="0.25">
      <c r="B10" s="308" t="s">
        <v>3</v>
      </c>
      <c r="C10" s="8" t="s">
        <v>92</v>
      </c>
      <c r="D10" s="125" t="s">
        <v>93</v>
      </c>
      <c r="E10" s="125"/>
      <c r="F10" s="125"/>
      <c r="G10" s="125"/>
      <c r="H10" s="125"/>
      <c r="I10" s="125"/>
      <c r="J10" s="116"/>
    </row>
    <row r="11" spans="2:12" ht="26.25" customHeight="1" x14ac:dyDescent="0.25">
      <c r="B11" s="308"/>
      <c r="C11" s="8" t="s">
        <v>23</v>
      </c>
      <c r="D11" s="125" t="s">
        <v>49</v>
      </c>
      <c r="E11" s="125"/>
      <c r="F11" s="125"/>
      <c r="G11" s="125"/>
      <c r="H11" s="125"/>
      <c r="I11" s="125"/>
      <c r="J11" s="116"/>
    </row>
    <row r="12" spans="2:12" ht="26.25" customHeight="1" x14ac:dyDescent="0.25">
      <c r="B12" s="308"/>
      <c r="C12" s="8" t="s">
        <v>1</v>
      </c>
      <c r="D12" s="125" t="s">
        <v>83</v>
      </c>
      <c r="E12" s="125"/>
      <c r="F12" s="125"/>
      <c r="G12" s="125"/>
      <c r="H12" s="125"/>
      <c r="I12" s="125"/>
      <c r="J12" s="116"/>
    </row>
    <row r="13" spans="2:12" ht="26.25" customHeight="1" x14ac:dyDescent="0.25">
      <c r="B13" s="309"/>
      <c r="C13" s="8" t="s">
        <v>1</v>
      </c>
      <c r="D13" s="125"/>
      <c r="E13" s="125" t="s">
        <v>39</v>
      </c>
      <c r="F13" s="125" t="s">
        <v>40</v>
      </c>
      <c r="G13" s="125" t="s">
        <v>87</v>
      </c>
      <c r="H13" s="125" t="s">
        <v>42</v>
      </c>
      <c r="I13" s="125" t="s">
        <v>42</v>
      </c>
      <c r="J13" s="116" t="s">
        <v>42</v>
      </c>
    </row>
    <row r="14" spans="2:12" ht="26.25" customHeight="1" x14ac:dyDescent="0.25">
      <c r="B14" s="4">
        <f>$C$5</f>
        <v>3502</v>
      </c>
      <c r="C14" s="8" t="s">
        <v>0</v>
      </c>
      <c r="D14" s="125"/>
      <c r="E14" s="125" t="s">
        <v>44</v>
      </c>
      <c r="F14" s="125" t="s">
        <v>44</v>
      </c>
      <c r="G14" s="125" t="s">
        <v>45</v>
      </c>
      <c r="H14" s="125" t="s">
        <v>44</v>
      </c>
      <c r="I14" s="125" t="s">
        <v>44</v>
      </c>
      <c r="J14" s="116" t="s">
        <v>44</v>
      </c>
    </row>
    <row r="15" spans="2:12" ht="26.25" customHeight="1" x14ac:dyDescent="0.25">
      <c r="B15" s="308" t="s">
        <v>22</v>
      </c>
      <c r="C15" s="8" t="s">
        <v>23</v>
      </c>
      <c r="D15" s="125" t="s">
        <v>45</v>
      </c>
      <c r="E15" s="125"/>
      <c r="F15" s="125"/>
      <c r="G15" s="125"/>
      <c r="H15" s="125"/>
      <c r="I15" s="125"/>
      <c r="J15" s="116"/>
    </row>
    <row r="16" spans="2:12" ht="26.25" customHeight="1" x14ac:dyDescent="0.25">
      <c r="B16" s="309"/>
      <c r="C16" s="8" t="s">
        <v>1</v>
      </c>
      <c r="D16" s="125"/>
      <c r="E16" s="125" t="s">
        <v>71</v>
      </c>
      <c r="F16" s="125" t="s">
        <v>85</v>
      </c>
      <c r="G16" s="125" t="s">
        <v>39</v>
      </c>
      <c r="H16" s="125" t="s">
        <v>71</v>
      </c>
      <c r="I16" s="125" t="s">
        <v>83</v>
      </c>
      <c r="J16" s="116" t="s">
        <v>83</v>
      </c>
    </row>
    <row r="17" spans="2:11" ht="26.25" customHeight="1" x14ac:dyDescent="0.25">
      <c r="B17" s="4">
        <f>$C$5</f>
        <v>3502</v>
      </c>
      <c r="C17" s="8" t="s">
        <v>32</v>
      </c>
      <c r="D17" s="125" t="s">
        <v>42</v>
      </c>
      <c r="E17" s="125" t="s">
        <v>45</v>
      </c>
      <c r="F17" s="125"/>
      <c r="G17" s="125"/>
      <c r="H17" s="125"/>
      <c r="I17" s="125"/>
      <c r="J17" s="116" t="s">
        <v>43</v>
      </c>
    </row>
    <row r="18" spans="2:11" ht="26.25" customHeight="1" x14ac:dyDescent="0.25">
      <c r="B18" s="308" t="s">
        <v>24</v>
      </c>
      <c r="C18" s="8" t="s">
        <v>27</v>
      </c>
      <c r="D18" s="125" t="s">
        <v>49</v>
      </c>
      <c r="E18" s="125"/>
      <c r="F18" s="125" t="s">
        <v>49</v>
      </c>
      <c r="G18" s="125" t="s">
        <v>85</v>
      </c>
      <c r="H18" s="125" t="s">
        <v>49</v>
      </c>
      <c r="I18" s="125" t="s">
        <v>49</v>
      </c>
      <c r="J18" s="116" t="s">
        <v>49</v>
      </c>
    </row>
    <row r="19" spans="2:11" ht="26.25" customHeight="1" x14ac:dyDescent="0.25">
      <c r="B19" s="309"/>
      <c r="C19" s="8" t="s">
        <v>25</v>
      </c>
      <c r="D19" s="125" t="s">
        <v>87</v>
      </c>
      <c r="E19" s="125" t="s">
        <v>42</v>
      </c>
      <c r="F19" s="125"/>
      <c r="G19" s="125"/>
      <c r="H19" s="125"/>
      <c r="I19" s="125"/>
      <c r="J19" s="116" t="s">
        <v>49</v>
      </c>
    </row>
    <row r="20" spans="2:11" ht="16.5" customHeight="1" x14ac:dyDescent="0.25">
      <c r="B20" s="4">
        <f>$C$5</f>
        <v>3502</v>
      </c>
      <c r="C20" s="310" t="s">
        <v>36</v>
      </c>
      <c r="D20" s="126" t="s">
        <v>41</v>
      </c>
      <c r="E20" s="126"/>
      <c r="F20" s="126"/>
      <c r="G20" s="126"/>
      <c r="H20" s="126"/>
      <c r="I20" s="126"/>
      <c r="J20" s="148" t="s">
        <v>40</v>
      </c>
    </row>
    <row r="21" spans="2:11" ht="15.75" x14ac:dyDescent="0.25">
      <c r="B21" s="135" t="s">
        <v>26</v>
      </c>
      <c r="C21" s="311"/>
      <c r="D21" s="127"/>
      <c r="E21" s="127"/>
      <c r="F21" s="127"/>
      <c r="G21" s="127"/>
      <c r="H21" s="127"/>
      <c r="I21" s="127"/>
      <c r="J21" s="149"/>
      <c r="K21" s="118"/>
    </row>
    <row r="22" spans="2:11" ht="26.25" customHeight="1" x14ac:dyDescent="0.25">
      <c r="B22" s="4">
        <f>$C$5</f>
        <v>3502</v>
      </c>
      <c r="C22" s="8" t="s">
        <v>0</v>
      </c>
      <c r="D22" s="125"/>
      <c r="E22" s="125" t="s">
        <v>87</v>
      </c>
      <c r="F22" s="125" t="s">
        <v>45</v>
      </c>
      <c r="G22" s="125" t="s">
        <v>88</v>
      </c>
      <c r="H22" s="125" t="s">
        <v>88</v>
      </c>
      <c r="I22" s="125" t="s">
        <v>41</v>
      </c>
      <c r="J22" s="116" t="s">
        <v>88</v>
      </c>
    </row>
    <row r="23" spans="2:11" ht="26.25" customHeight="1" x14ac:dyDescent="0.25">
      <c r="B23" s="308" t="s">
        <v>33</v>
      </c>
      <c r="C23" s="8" t="s">
        <v>23</v>
      </c>
      <c r="D23" s="125" t="s">
        <v>85</v>
      </c>
      <c r="E23" s="125"/>
      <c r="F23" s="125"/>
      <c r="G23" s="125"/>
      <c r="H23" s="125"/>
      <c r="I23" s="125"/>
      <c r="J23" s="116"/>
    </row>
    <row r="24" spans="2:11" ht="26.25" customHeight="1" x14ac:dyDescent="0.25">
      <c r="B24" s="308"/>
      <c r="C24" s="8" t="s">
        <v>1</v>
      </c>
      <c r="D24" s="125"/>
      <c r="E24" s="125" t="s">
        <v>83</v>
      </c>
      <c r="F24" s="125" t="s">
        <v>39</v>
      </c>
      <c r="G24" s="125" t="s">
        <v>40</v>
      </c>
      <c r="H24" s="125" t="s">
        <v>39</v>
      </c>
      <c r="I24" s="125" t="s">
        <v>71</v>
      </c>
      <c r="J24" s="116" t="s">
        <v>87</v>
      </c>
    </row>
    <row r="25" spans="2:11" ht="26.25" customHeight="1" x14ac:dyDescent="0.25">
      <c r="B25" s="4">
        <f>$C$5</f>
        <v>3502</v>
      </c>
      <c r="C25" s="8" t="s">
        <v>0</v>
      </c>
      <c r="D25" s="125"/>
      <c r="E25" s="125" t="s">
        <v>43</v>
      </c>
      <c r="F25" s="125" t="s">
        <v>88</v>
      </c>
      <c r="G25" s="125" t="s">
        <v>43</v>
      </c>
      <c r="H25" s="125" t="s">
        <v>43</v>
      </c>
      <c r="I25" s="125" t="s">
        <v>43</v>
      </c>
      <c r="J25" s="116" t="s">
        <v>39</v>
      </c>
    </row>
    <row r="26" spans="2:11" ht="26.25" customHeight="1" x14ac:dyDescent="0.25">
      <c r="B26" s="308" t="s">
        <v>70</v>
      </c>
      <c r="C26" s="8" t="s">
        <v>23</v>
      </c>
      <c r="D26" s="125" t="s">
        <v>40</v>
      </c>
      <c r="E26" s="125"/>
      <c r="F26" s="125"/>
      <c r="G26" s="125"/>
      <c r="H26" s="125"/>
      <c r="I26" s="125"/>
      <c r="J26" s="116"/>
    </row>
    <row r="27" spans="2:11" ht="26.25" customHeight="1" x14ac:dyDescent="0.25">
      <c r="B27" s="309"/>
      <c r="C27" s="8" t="s">
        <v>1</v>
      </c>
      <c r="D27" s="125"/>
      <c r="E27" s="125" t="s">
        <v>40</v>
      </c>
      <c r="F27" s="125" t="s">
        <v>71</v>
      </c>
      <c r="G27" s="125" t="s">
        <v>71</v>
      </c>
      <c r="H27" s="125" t="s">
        <v>83</v>
      </c>
      <c r="I27" s="125" t="s">
        <v>87</v>
      </c>
      <c r="J27" s="116" t="s">
        <v>49</v>
      </c>
    </row>
    <row r="28" spans="2:11" ht="26.25" customHeight="1" x14ac:dyDescent="0.25">
      <c r="B28" s="6" t="s">
        <v>34</v>
      </c>
      <c r="C28" s="310" t="s">
        <v>29</v>
      </c>
      <c r="D28" s="362" t="s">
        <v>51</v>
      </c>
      <c r="E28" s="362" t="s">
        <v>49</v>
      </c>
      <c r="F28" s="362" t="s">
        <v>51</v>
      </c>
      <c r="G28" s="362" t="s">
        <v>51</v>
      </c>
      <c r="H28" s="362" t="s">
        <v>49</v>
      </c>
      <c r="I28" s="362" t="s">
        <v>51</v>
      </c>
      <c r="J28" s="362" t="s">
        <v>51</v>
      </c>
    </row>
    <row r="29" spans="2:11" ht="18" customHeight="1" x14ac:dyDescent="0.25">
      <c r="B29" s="135" t="s">
        <v>35</v>
      </c>
      <c r="C29" s="311"/>
      <c r="D29" s="363"/>
      <c r="E29" s="363"/>
      <c r="F29" s="363"/>
      <c r="G29" s="363"/>
      <c r="H29" s="363"/>
      <c r="I29" s="363"/>
      <c r="J29" s="363"/>
    </row>
    <row r="30" spans="2:11" ht="15.75" x14ac:dyDescent="0.25"/>
    <row r="31" spans="2:11" ht="16.5" hidden="1" customHeight="1" x14ac:dyDescent="0.25"/>
    <row r="32" spans="2:11" ht="16.5" hidden="1" customHeight="1" x14ac:dyDescent="0.25"/>
    <row r="33" spans="2:13" ht="16.5" hidden="1" customHeight="1" x14ac:dyDescent="0.25"/>
    <row r="34" spans="2:13" ht="16.5" hidden="1" customHeight="1" x14ac:dyDescent="0.25"/>
    <row r="35" spans="2:13" ht="16.5" customHeight="1" x14ac:dyDescent="0.25"/>
    <row r="36" spans="2:13" ht="16.5" customHeight="1" x14ac:dyDescent="0.25"/>
    <row r="37" spans="2:13" ht="16.5" customHeight="1" x14ac:dyDescent="0.25"/>
    <row r="38" spans="2:13" ht="16.5" customHeight="1" x14ac:dyDescent="0.25"/>
    <row r="39" spans="2:13" s="19" customFormat="1" ht="16.5" customHeight="1" x14ac:dyDescent="0.25">
      <c r="B39" s="199" t="s">
        <v>115</v>
      </c>
      <c r="C39" s="196" t="s">
        <v>116</v>
      </c>
      <c r="D39" s="196"/>
      <c r="E39" s="196"/>
      <c r="F39" s="196"/>
      <c r="G39" s="196"/>
      <c r="H39" s="373" t="s">
        <v>125</v>
      </c>
      <c r="I39" s="373"/>
      <c r="J39" s="219" t="s">
        <v>126</v>
      </c>
      <c r="K39" s="198" t="s">
        <v>113</v>
      </c>
      <c r="L39" s="197" t="s">
        <v>114</v>
      </c>
      <c r="M39" s="196"/>
    </row>
  </sheetData>
  <mergeCells count="19">
    <mergeCell ref="H39:I39"/>
    <mergeCell ref="J28:J29"/>
    <mergeCell ref="B18:B19"/>
    <mergeCell ref="C20:C21"/>
    <mergeCell ref="B23:B24"/>
    <mergeCell ref="B26:B27"/>
    <mergeCell ref="C28:C29"/>
    <mergeCell ref="D28:D29"/>
    <mergeCell ref="E28:E29"/>
    <mergeCell ref="F28:F29"/>
    <mergeCell ref="G28:G29"/>
    <mergeCell ref="H28:H29"/>
    <mergeCell ref="I28:I29"/>
    <mergeCell ref="B15:B16"/>
    <mergeCell ref="D2:E2"/>
    <mergeCell ref="D4:E4"/>
    <mergeCell ref="B7:B8"/>
    <mergeCell ref="C7:C8"/>
    <mergeCell ref="B10:B13"/>
  </mergeCells>
  <dataValidations disablePrompts="1" count="2">
    <dataValidation type="list" allowBlank="1" showInputMessage="1" showErrorMessage="1" sqref="C9:C29" xr:uid="{772500F3-BC3E-3644-A600-D1ED7B2AEBE8}">
      <formula1>Timer</formula1>
    </dataValidation>
    <dataValidation type="list" allowBlank="1" showInputMessage="1" showErrorMessage="1" sqref="D9:J28" xr:uid="{9593C0B2-2A04-6740-B2B6-8B991589E902}">
      <formula1>List_Guard</formula1>
    </dataValidation>
  </dataValidations>
  <hyperlinks>
    <hyperlink ref="H39" r:id="rId1" xr:uid="{0B78FFE3-AD4D-4118-8B0D-7ED8C00EBC48}"/>
  </hyperlinks>
  <pageMargins left="0.64" right="0.52" top="0.75" bottom="0.59" header="0.3" footer="0.3"/>
  <pageSetup scale="74" orientation="landscape" horizontalDpi="4294967292"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41934-7B59-5341-8A88-EFE2D7E42DE5}">
  <sheetPr codeName="Hoja12">
    <tabColor theme="2" tint="-9.9978637043366805E-2"/>
    <pageSetUpPr fitToPage="1"/>
  </sheetPr>
  <dimension ref="A1:XFD41"/>
  <sheetViews>
    <sheetView showGridLines="0" zoomScale="80" zoomScaleNormal="80" zoomScaleSheetLayoutView="46" workbookViewId="0" xr3:uid="{C4DC01D2-53FF-5BF7-8DD4-C9B2DCE797B5}">
      <pane xSplit="5" ySplit="8" topLeftCell="F25" activePane="bottomRight" state="frozen"/>
      <selection pane="bottomLeft" activeCell="A9" sqref="A9"/>
      <selection pane="topRight" activeCell="E1" sqref="E1"/>
      <selection pane="bottomRight" activeCell="F32" sqref="F32"/>
    </sheetView>
  </sheetViews>
  <sheetFormatPr defaultColWidth="0" defaultRowHeight="0" customHeight="1" zeroHeight="1" x14ac:dyDescent="0.25"/>
  <cols>
    <col min="1" max="1" width="2.04296875" customWidth="1"/>
    <col min="2" max="2" width="20.453125" customWidth="1"/>
    <col min="3" max="3" width="6.81640625" bestFit="1" customWidth="1"/>
    <col min="4" max="4" width="11.58984375" style="168" customWidth="1"/>
    <col min="5" max="5" width="3.40625" style="179" hidden="1" customWidth="1"/>
    <col min="6" max="6" width="18.26953125" style="17" bestFit="1" customWidth="1"/>
    <col min="7" max="7" width="18.26953125" bestFit="1" customWidth="1"/>
    <col min="8" max="9" width="17.453125" bestFit="1" customWidth="1"/>
    <col min="10" max="12" width="18.26953125" bestFit="1" customWidth="1"/>
    <col min="13" max="13" width="2.7265625" style="19" customWidth="1"/>
    <col min="14" max="16383" width="9.953125" hidden="1"/>
    <col min="16384" max="16384" width="2.1796875" hidden="1"/>
  </cols>
  <sheetData>
    <row r="1" spans="2:13" ht="33" customHeight="1" x14ac:dyDescent="0.25">
      <c r="B1" s="19"/>
      <c r="C1" s="19"/>
      <c r="D1" s="20"/>
      <c r="E1" s="182"/>
      <c r="F1" s="114"/>
      <c r="G1" s="19"/>
      <c r="H1" s="19"/>
      <c r="I1" s="19"/>
      <c r="J1" s="19"/>
      <c r="K1" s="19"/>
      <c r="L1" s="153"/>
      <c r="M1" s="153"/>
    </row>
    <row r="2" spans="2:13" ht="24.75" customHeight="1" x14ac:dyDescent="0.25">
      <c r="B2" s="152"/>
      <c r="C2" s="173"/>
      <c r="D2" s="152"/>
      <c r="E2" s="173"/>
      <c r="F2" s="355" t="s">
        <v>18</v>
      </c>
      <c r="G2" s="355"/>
      <c r="H2" s="183"/>
      <c r="I2" s="160" t="s">
        <v>17</v>
      </c>
      <c r="J2" s="153">
        <f>IF((F8),F8," ")</f>
        <v>43275</v>
      </c>
      <c r="K2" s="122" t="s">
        <v>16</v>
      </c>
      <c r="L2" s="153">
        <f>L8</f>
        <v>43281</v>
      </c>
    </row>
    <row r="3" spans="2:13" ht="15.75" x14ac:dyDescent="0.25">
      <c r="B3" s="152"/>
      <c r="C3" s="173"/>
      <c r="D3" s="152"/>
      <c r="E3" s="173"/>
      <c r="F3" s="183"/>
      <c r="G3" s="183"/>
      <c r="H3" s="183"/>
      <c r="I3" s="183"/>
      <c r="J3" s="153"/>
      <c r="K3" s="160"/>
      <c r="L3" s="153"/>
    </row>
    <row r="4" spans="2:13" ht="21" x14ac:dyDescent="0.25">
      <c r="B4" s="152" t="s">
        <v>13</v>
      </c>
      <c r="C4" s="173"/>
      <c r="D4" s="152">
        <f>Employeed!C38</f>
        <v>60029</v>
      </c>
      <c r="E4" s="173"/>
      <c r="F4" s="356" t="s">
        <v>15</v>
      </c>
      <c r="G4" s="356"/>
      <c r="H4" s="24" t="s">
        <v>14</v>
      </c>
      <c r="I4" s="24"/>
      <c r="J4" s="24"/>
      <c r="K4" s="152"/>
      <c r="L4" s="152"/>
    </row>
    <row r="5" spans="2:13" ht="15.75" x14ac:dyDescent="0.25">
      <c r="B5" s="152" t="s">
        <v>13</v>
      </c>
      <c r="C5" s="173"/>
      <c r="D5" s="152">
        <f>Employeed!D1</f>
        <v>3502</v>
      </c>
      <c r="E5" s="173"/>
      <c r="F5" s="161"/>
      <c r="G5" s="161"/>
      <c r="H5" s="24" t="s">
        <v>12</v>
      </c>
      <c r="I5" s="115" t="str">
        <f>Employeed!C39</f>
        <v>(505) 344-1900</v>
      </c>
      <c r="J5" s="24"/>
      <c r="K5" s="24"/>
      <c r="L5" s="115"/>
    </row>
    <row r="6" spans="2:13" ht="12" customHeight="1" x14ac:dyDescent="0.25">
      <c r="B6" s="152"/>
      <c r="C6" s="173"/>
      <c r="D6" s="152"/>
      <c r="E6" s="173"/>
      <c r="F6" s="161"/>
      <c r="G6" s="161"/>
      <c r="H6" s="152"/>
      <c r="I6" s="26"/>
      <c r="J6" s="26"/>
      <c r="K6" s="152"/>
      <c r="L6" s="152"/>
    </row>
    <row r="7" spans="2:13" ht="16.5" customHeight="1" x14ac:dyDescent="0.25">
      <c r="B7" s="357" t="s">
        <v>30</v>
      </c>
      <c r="C7" s="358"/>
      <c r="D7" s="361" t="s">
        <v>31</v>
      </c>
      <c r="E7" s="361"/>
      <c r="F7" s="162" t="s">
        <v>10</v>
      </c>
      <c r="G7" s="163" t="s">
        <v>9</v>
      </c>
      <c r="H7" s="164" t="s">
        <v>8</v>
      </c>
      <c r="I7" s="165" t="s">
        <v>7</v>
      </c>
      <c r="J7" s="166" t="s">
        <v>94</v>
      </c>
      <c r="K7" s="167" t="s">
        <v>5</v>
      </c>
      <c r="L7" s="159" t="s">
        <v>4</v>
      </c>
    </row>
    <row r="8" spans="2:13" s="2" customFormat="1" ht="16.5" customHeight="1" x14ac:dyDescent="0.25">
      <c r="B8" s="359"/>
      <c r="C8" s="360"/>
      <c r="D8" s="361"/>
      <c r="E8" s="361"/>
      <c r="F8" s="154">
        <v>43275</v>
      </c>
      <c r="G8" s="155">
        <f t="shared" ref="G8:L8" si="0">F8+1</f>
        <v>43276</v>
      </c>
      <c r="H8" s="156">
        <f t="shared" si="0"/>
        <v>43277</v>
      </c>
      <c r="I8" s="157">
        <f t="shared" si="0"/>
        <v>43278</v>
      </c>
      <c r="J8" s="158">
        <f t="shared" si="0"/>
        <v>43279</v>
      </c>
      <c r="K8" s="150">
        <f t="shared" si="0"/>
        <v>43280</v>
      </c>
      <c r="L8" s="151">
        <f t="shared" si="0"/>
        <v>43281</v>
      </c>
      <c r="M8" s="117"/>
    </row>
    <row r="9" spans="2:13" ht="26.25" customHeight="1" x14ac:dyDescent="0.25">
      <c r="B9" s="175">
        <f>$D$5</f>
        <v>3502</v>
      </c>
      <c r="C9" s="176"/>
      <c r="D9" s="174" t="s">
        <v>0</v>
      </c>
      <c r="E9" s="174">
        <v>8</v>
      </c>
      <c r="F9" s="181"/>
      <c r="G9" s="169" t="s">
        <v>88</v>
      </c>
      <c r="H9" s="169" t="s">
        <v>41</v>
      </c>
      <c r="I9" s="169" t="s">
        <v>41</v>
      </c>
      <c r="J9" s="169" t="s">
        <v>41</v>
      </c>
      <c r="K9" s="169" t="s">
        <v>85</v>
      </c>
      <c r="L9" s="116"/>
    </row>
    <row r="10" spans="2:13" ht="26.25" customHeight="1" x14ac:dyDescent="0.25">
      <c r="B10" s="349" t="s">
        <v>3</v>
      </c>
      <c r="C10" s="350"/>
      <c r="D10" s="174" t="s">
        <v>92</v>
      </c>
      <c r="E10" s="174">
        <v>8</v>
      </c>
      <c r="F10" s="181" t="s">
        <v>93</v>
      </c>
      <c r="G10" s="169"/>
      <c r="H10" s="169"/>
      <c r="I10" s="169"/>
      <c r="J10" s="169"/>
      <c r="K10" s="169"/>
      <c r="L10" s="116"/>
    </row>
    <row r="11" spans="2:13" ht="26.25" customHeight="1" x14ac:dyDescent="0.25">
      <c r="B11" s="349"/>
      <c r="C11" s="350"/>
      <c r="D11" s="174" t="s">
        <v>23</v>
      </c>
      <c r="E11" s="174">
        <v>12</v>
      </c>
      <c r="F11" s="181"/>
      <c r="G11" s="169"/>
      <c r="H11" s="169"/>
      <c r="I11" s="169"/>
      <c r="J11" s="169"/>
      <c r="K11" s="169"/>
      <c r="L11" s="116"/>
    </row>
    <row r="12" spans="2:13" ht="26.25" customHeight="1" x14ac:dyDescent="0.25">
      <c r="B12" s="349"/>
      <c r="C12" s="350"/>
      <c r="D12" s="174" t="s">
        <v>1</v>
      </c>
      <c r="E12" s="174">
        <v>8</v>
      </c>
      <c r="F12" s="181" t="s">
        <v>110</v>
      </c>
      <c r="G12" s="169"/>
      <c r="H12" s="169"/>
      <c r="I12" s="169"/>
      <c r="J12" s="169"/>
      <c r="K12" s="169"/>
      <c r="L12" s="116"/>
    </row>
    <row r="13" spans="2:13" ht="26.25" customHeight="1" x14ac:dyDescent="0.25">
      <c r="B13" s="351"/>
      <c r="C13" s="352"/>
      <c r="D13" s="174" t="s">
        <v>1</v>
      </c>
      <c r="E13" s="174">
        <v>8</v>
      </c>
      <c r="F13" s="181"/>
      <c r="G13" s="169" t="s">
        <v>39</v>
      </c>
      <c r="H13" s="169" t="s">
        <v>40</v>
      </c>
      <c r="I13" s="169" t="s">
        <v>87</v>
      </c>
      <c r="J13" s="169" t="s">
        <v>42</v>
      </c>
      <c r="K13" s="169" t="s">
        <v>42</v>
      </c>
      <c r="L13" s="116" t="s">
        <v>42</v>
      </c>
    </row>
    <row r="14" spans="2:13" ht="26.25" customHeight="1" x14ac:dyDescent="0.25">
      <c r="B14" s="353">
        <f>$D$5</f>
        <v>3502</v>
      </c>
      <c r="C14" s="354"/>
      <c r="D14" s="174" t="s">
        <v>0</v>
      </c>
      <c r="E14" s="174">
        <v>8</v>
      </c>
      <c r="F14" s="181"/>
      <c r="G14" s="169" t="s">
        <v>44</v>
      </c>
      <c r="H14" s="169" t="s">
        <v>44</v>
      </c>
      <c r="I14" s="169" t="s">
        <v>45</v>
      </c>
      <c r="J14" s="169" t="s">
        <v>44</v>
      </c>
      <c r="K14" s="169" t="s">
        <v>44</v>
      </c>
      <c r="L14" s="116" t="s">
        <v>44</v>
      </c>
    </row>
    <row r="15" spans="2:13" ht="26.25" customHeight="1" x14ac:dyDescent="0.25">
      <c r="B15" s="349" t="s">
        <v>22</v>
      </c>
      <c r="C15" s="350"/>
      <c r="D15" s="174" t="s">
        <v>23</v>
      </c>
      <c r="E15" s="174">
        <v>12</v>
      </c>
      <c r="F15" s="181" t="s">
        <v>45</v>
      </c>
      <c r="G15" s="169"/>
      <c r="H15" s="169"/>
      <c r="I15" s="169"/>
      <c r="J15" s="169"/>
      <c r="K15" s="169"/>
      <c r="L15" s="116"/>
    </row>
    <row r="16" spans="2:13" ht="26.25" customHeight="1" x14ac:dyDescent="0.25">
      <c r="B16" s="351"/>
      <c r="C16" s="352"/>
      <c r="D16" s="174" t="s">
        <v>1</v>
      </c>
      <c r="E16" s="174">
        <v>8</v>
      </c>
      <c r="F16" s="181"/>
      <c r="G16" s="169" t="s">
        <v>71</v>
      </c>
      <c r="H16" s="169" t="s">
        <v>85</v>
      </c>
      <c r="I16" s="169" t="s">
        <v>39</v>
      </c>
      <c r="J16" s="169" t="s">
        <v>71</v>
      </c>
      <c r="K16" s="169" t="s">
        <v>110</v>
      </c>
      <c r="L16" s="116" t="s">
        <v>110</v>
      </c>
    </row>
    <row r="17" spans="2:13" ht="26.25" customHeight="1" x14ac:dyDescent="0.25">
      <c r="B17" s="353">
        <f>$D$5</f>
        <v>3502</v>
      </c>
      <c r="C17" s="354"/>
      <c r="D17" s="174" t="s">
        <v>32</v>
      </c>
      <c r="E17" s="174">
        <v>6</v>
      </c>
      <c r="F17" s="181" t="s">
        <v>42</v>
      </c>
      <c r="G17" s="169" t="s">
        <v>45</v>
      </c>
      <c r="H17" s="169"/>
      <c r="I17" s="169"/>
      <c r="J17" s="169"/>
      <c r="K17" s="169"/>
      <c r="L17" s="116" t="s">
        <v>43</v>
      </c>
    </row>
    <row r="18" spans="2:13" ht="26.25" customHeight="1" x14ac:dyDescent="0.25">
      <c r="B18" s="349" t="s">
        <v>24</v>
      </c>
      <c r="C18" s="350"/>
      <c r="D18" s="174" t="s">
        <v>27</v>
      </c>
      <c r="E18" s="174">
        <v>9</v>
      </c>
      <c r="F18" s="181"/>
      <c r="G18" s="169"/>
      <c r="H18" s="169" t="s">
        <v>96</v>
      </c>
      <c r="I18" s="169" t="s">
        <v>85</v>
      </c>
      <c r="J18" s="169" t="s">
        <v>96</v>
      </c>
      <c r="K18" s="169" t="s">
        <v>96</v>
      </c>
      <c r="L18" s="116"/>
    </row>
    <row r="19" spans="2:13" ht="26.25" customHeight="1" x14ac:dyDescent="0.25">
      <c r="B19" s="351"/>
      <c r="C19" s="352"/>
      <c r="D19" s="174" t="s">
        <v>25</v>
      </c>
      <c r="E19" s="174">
        <v>6</v>
      </c>
      <c r="F19" s="181" t="s">
        <v>87</v>
      </c>
      <c r="G19" s="169" t="s">
        <v>42</v>
      </c>
      <c r="H19" s="169"/>
      <c r="I19" s="169"/>
      <c r="J19" s="169"/>
      <c r="K19" s="169"/>
      <c r="L19" s="116" t="s">
        <v>96</v>
      </c>
    </row>
    <row r="20" spans="2:13" ht="16.5" customHeight="1" x14ac:dyDescent="0.25">
      <c r="B20" s="353">
        <f>$D$5</f>
        <v>3502</v>
      </c>
      <c r="C20" s="354"/>
      <c r="D20" s="310" t="s">
        <v>36</v>
      </c>
      <c r="E20" s="310">
        <v>6</v>
      </c>
      <c r="F20" s="291" t="s">
        <v>41</v>
      </c>
      <c r="G20" s="362"/>
      <c r="H20" s="362"/>
      <c r="I20" s="362"/>
      <c r="J20" s="362"/>
      <c r="K20" s="362"/>
      <c r="L20" s="362" t="s">
        <v>40</v>
      </c>
    </row>
    <row r="21" spans="2:13" ht="15.75" x14ac:dyDescent="0.25">
      <c r="B21" s="351" t="s">
        <v>26</v>
      </c>
      <c r="C21" s="352"/>
      <c r="D21" s="311"/>
      <c r="E21" s="311"/>
      <c r="F21" s="293"/>
      <c r="G21" s="363"/>
      <c r="H21" s="363"/>
      <c r="I21" s="363"/>
      <c r="J21" s="363"/>
      <c r="K21" s="363"/>
      <c r="L21" s="363"/>
      <c r="M21" s="118"/>
    </row>
    <row r="22" spans="2:13" ht="26.25" customHeight="1" x14ac:dyDescent="0.25">
      <c r="B22" s="353">
        <f>$D$5</f>
        <v>3502</v>
      </c>
      <c r="C22" s="354"/>
      <c r="D22" s="174" t="s">
        <v>0</v>
      </c>
      <c r="E22" s="174">
        <v>8</v>
      </c>
      <c r="F22" s="181"/>
      <c r="G22" s="169" t="s">
        <v>87</v>
      </c>
      <c r="H22" s="169" t="s">
        <v>45</v>
      </c>
      <c r="I22" s="169" t="s">
        <v>88</v>
      </c>
      <c r="J22" s="169" t="s">
        <v>88</v>
      </c>
      <c r="K22" s="169" t="s">
        <v>41</v>
      </c>
      <c r="L22" s="116" t="s">
        <v>88</v>
      </c>
    </row>
    <row r="23" spans="2:13" ht="26.25" customHeight="1" x14ac:dyDescent="0.25">
      <c r="B23" s="349" t="s">
        <v>33</v>
      </c>
      <c r="C23" s="350"/>
      <c r="D23" s="174" t="s">
        <v>23</v>
      </c>
      <c r="E23" s="174">
        <v>12</v>
      </c>
      <c r="F23" s="181" t="s">
        <v>85</v>
      </c>
      <c r="G23" s="169"/>
      <c r="H23" s="169"/>
      <c r="I23" s="169"/>
      <c r="J23" s="169"/>
      <c r="K23" s="169"/>
      <c r="L23" s="116"/>
    </row>
    <row r="24" spans="2:13" ht="26.25" customHeight="1" x14ac:dyDescent="0.25">
      <c r="B24" s="351"/>
      <c r="C24" s="352"/>
      <c r="D24" s="174" t="s">
        <v>1</v>
      </c>
      <c r="E24" s="174">
        <v>8</v>
      </c>
      <c r="F24" s="181"/>
      <c r="G24" s="169" t="s">
        <v>110</v>
      </c>
      <c r="H24" s="169" t="s">
        <v>39</v>
      </c>
      <c r="I24" s="169" t="s">
        <v>40</v>
      </c>
      <c r="J24" s="169" t="s">
        <v>39</v>
      </c>
      <c r="K24" s="169" t="s">
        <v>71</v>
      </c>
      <c r="L24" s="116" t="s">
        <v>87</v>
      </c>
    </row>
    <row r="25" spans="2:13" ht="26.25" customHeight="1" x14ac:dyDescent="0.25">
      <c r="B25" s="353">
        <f>$D$5</f>
        <v>3502</v>
      </c>
      <c r="C25" s="354"/>
      <c r="D25" s="174" t="s">
        <v>0</v>
      </c>
      <c r="E25" s="174">
        <v>8</v>
      </c>
      <c r="F25" s="181"/>
      <c r="G25" s="169" t="s">
        <v>43</v>
      </c>
      <c r="H25" s="169" t="s">
        <v>88</v>
      </c>
      <c r="I25" s="169" t="s">
        <v>43</v>
      </c>
      <c r="J25" s="169" t="s">
        <v>43</v>
      </c>
      <c r="K25" s="169" t="s">
        <v>43</v>
      </c>
      <c r="L25" s="116" t="s">
        <v>39</v>
      </c>
    </row>
    <row r="26" spans="2:13" ht="26.25" customHeight="1" x14ac:dyDescent="0.25">
      <c r="B26" s="349" t="s">
        <v>70</v>
      </c>
      <c r="C26" s="350"/>
      <c r="D26" s="174" t="s">
        <v>23</v>
      </c>
      <c r="E26" s="174">
        <v>12</v>
      </c>
      <c r="F26" s="181" t="s">
        <v>40</v>
      </c>
      <c r="G26" s="169"/>
      <c r="H26" s="169"/>
      <c r="I26" s="169"/>
      <c r="J26" s="169"/>
      <c r="K26" s="169"/>
      <c r="L26" s="116"/>
    </row>
    <row r="27" spans="2:13" ht="26.25" customHeight="1" x14ac:dyDescent="0.25">
      <c r="B27" s="351"/>
      <c r="C27" s="352"/>
      <c r="D27" s="174" t="s">
        <v>1</v>
      </c>
      <c r="E27" s="174">
        <v>8</v>
      </c>
      <c r="F27" s="181"/>
      <c r="G27" s="169" t="s">
        <v>40</v>
      </c>
      <c r="H27" s="169" t="s">
        <v>71</v>
      </c>
      <c r="I27" s="169" t="s">
        <v>71</v>
      </c>
      <c r="J27" s="169" t="s">
        <v>110</v>
      </c>
      <c r="K27" s="169" t="s">
        <v>87</v>
      </c>
      <c r="L27" s="116"/>
    </row>
    <row r="28" spans="2:13" ht="26.25" customHeight="1" x14ac:dyDescent="0.25">
      <c r="B28" s="353" t="s">
        <v>34</v>
      </c>
      <c r="C28" s="354"/>
      <c r="D28" s="365" t="s">
        <v>29</v>
      </c>
      <c r="E28" s="365"/>
      <c r="F28" s="291"/>
      <c r="G28" s="362" t="s">
        <v>51</v>
      </c>
      <c r="H28" s="362" t="s">
        <v>51</v>
      </c>
      <c r="I28" s="362" t="s">
        <v>51</v>
      </c>
      <c r="J28" s="362" t="s">
        <v>51</v>
      </c>
      <c r="K28" s="362" t="s">
        <v>51</v>
      </c>
      <c r="L28" s="362"/>
    </row>
    <row r="29" spans="2:13" ht="18" customHeight="1" x14ac:dyDescent="0.25">
      <c r="B29" s="351" t="s">
        <v>35</v>
      </c>
      <c r="C29" s="352"/>
      <c r="D29" s="365"/>
      <c r="E29" s="365"/>
      <c r="F29" s="293"/>
      <c r="G29" s="363"/>
      <c r="H29" s="363"/>
      <c r="I29" s="363"/>
      <c r="J29" s="363"/>
      <c r="K29" s="363"/>
      <c r="L29" s="363"/>
    </row>
    <row r="30" spans="2:13" ht="15.75" x14ac:dyDescent="0.25"/>
    <row r="31" spans="2:13" ht="16.5" customHeight="1" x14ac:dyDescent="0.25">
      <c r="B31" s="366" t="s">
        <v>106</v>
      </c>
      <c r="C31" s="367">
        <f>SUM(F31:L31)</f>
        <v>0</v>
      </c>
      <c r="D31" s="368" t="s">
        <v>105</v>
      </c>
      <c r="E31" s="213"/>
      <c r="F31" s="190">
        <f>IFERROR(INDEX(Hr,MATCH($B33,Sun,0),0),0)</f>
        <v>0</v>
      </c>
      <c r="G31" s="190">
        <f>IFERROR(INDEX(Hr,MATCH($B33,Mon,0),0),0)</f>
        <v>0</v>
      </c>
      <c r="H31" s="190">
        <f>IFERROR(INDEX(Hr,MATCH($B33,Tue,0),0),0)</f>
        <v>0</v>
      </c>
      <c r="I31" s="190">
        <f>IFERROR(INDEX(Hr,MATCH($B33,Wed,0),0),0)</f>
        <v>0</v>
      </c>
      <c r="J31" s="190">
        <f>IFERROR(INDEX(Hr,MATCH($B33,Thr,0),0),0)</f>
        <v>0</v>
      </c>
      <c r="K31" s="190">
        <f>IFERROR(INDEX(Hr,MATCH($B33,Fri,0),0),0)</f>
        <v>0</v>
      </c>
      <c r="L31" s="190">
        <f>IFERROR(INDEX(Hr,MATCH($B33,Sat,0),0),0)</f>
        <v>0</v>
      </c>
      <c r="M31" s="196"/>
    </row>
    <row r="32" spans="2:13" ht="16.5" customHeight="1" x14ac:dyDescent="0.25">
      <c r="B32" s="366"/>
      <c r="C32" s="367"/>
      <c r="D32" s="368"/>
      <c r="E32" s="213"/>
      <c r="F32" s="203" t="str">
        <f>IFERROR(INDEX(Tour,MATCH($B33,Sun,0),"ON"),"Off")</f>
        <v>Off</v>
      </c>
      <c r="G32" s="203" t="str">
        <f>IFERROR(INDEX(Tour,MATCH($B33,Mon,0),0),"Off")</f>
        <v>Off</v>
      </c>
      <c r="H32" s="203" t="str">
        <f>IFERROR(INDEX(Tour,MATCH($B33,Tue,0),0),"Off")</f>
        <v>Off</v>
      </c>
      <c r="I32" s="203" t="str">
        <f>IFERROR(INDEX(Tour,MATCH($B33,Wed,0),0),"Off")</f>
        <v>Off</v>
      </c>
      <c r="J32" s="203" t="str">
        <f>IFERROR(INDEX(Tour,MATCH($B33,Thr,0),0),"Off")</f>
        <v>Off</v>
      </c>
      <c r="K32" s="203" t="str">
        <f>IFERROR(INDEX(Tour,MATCH($B33,Fri,0),0),"Off")</f>
        <v>Off</v>
      </c>
      <c r="L32" s="203" t="str">
        <f>IFERROR(INDEX(Tour,MATCH($B33,Sat,0),0),"Off")</f>
        <v>Off</v>
      </c>
      <c r="M32" s="196"/>
    </row>
    <row r="33" spans="2:13 16384:16384" ht="16.5" customHeight="1" x14ac:dyDescent="0.25">
      <c r="B33" s="369" t="s">
        <v>40</v>
      </c>
      <c r="C33" s="369"/>
      <c r="D33" s="370">
        <f>SUM(F34:L34)</f>
        <v>0</v>
      </c>
      <c r="E33" s="213"/>
      <c r="F33" s="202"/>
      <c r="G33" s="202"/>
      <c r="H33" s="202"/>
      <c r="I33" s="202"/>
      <c r="J33" s="202"/>
      <c r="K33" s="202"/>
      <c r="L33" s="202"/>
      <c r="M33" s="196"/>
    </row>
    <row r="34" spans="2:13 16384:16384" ht="16.5" customHeight="1" x14ac:dyDescent="0.25">
      <c r="B34" s="369"/>
      <c r="C34" s="369"/>
      <c r="D34" s="370"/>
      <c r="E34" s="213"/>
      <c r="F34" s="177"/>
      <c r="G34" s="177"/>
      <c r="H34" s="177"/>
      <c r="I34" s="177"/>
      <c r="J34" s="177"/>
      <c r="K34" s="177"/>
      <c r="L34" s="177"/>
      <c r="M34" s="196"/>
    </row>
    <row r="35" spans="2:13 16384:16384" s="205" customFormat="1" ht="21.75" customHeight="1" x14ac:dyDescent="0.25">
      <c r="B35" s="371" t="str">
        <f>"Day's: "&amp;COUNTIF(F31:L31,"&gt;0")</f>
        <v>Day's: 0</v>
      </c>
      <c r="C35" s="209" t="s">
        <v>117</v>
      </c>
      <c r="D35" s="218">
        <f>IF(C36,SUM(F34:L34)/C31,XFD35/1000)</f>
        <v>0</v>
      </c>
      <c r="E35" s="204"/>
      <c r="F35" s="207">
        <f t="shared" ref="F35:L35" si="1">IFERROR(MATCH(F33,Time_Eva,0),0)</f>
        <v>0</v>
      </c>
      <c r="G35" s="207">
        <f t="shared" si="1"/>
        <v>0</v>
      </c>
      <c r="H35" s="207">
        <f t="shared" si="1"/>
        <v>0</v>
      </c>
      <c r="I35" s="207">
        <f t="shared" si="1"/>
        <v>0</v>
      </c>
      <c r="J35" s="207">
        <f t="shared" si="1"/>
        <v>0</v>
      </c>
      <c r="K35" s="207">
        <f t="shared" si="1"/>
        <v>0</v>
      </c>
      <c r="L35" s="207">
        <f t="shared" si="1"/>
        <v>0</v>
      </c>
      <c r="M35" s="196"/>
      <c r="XFD35">
        <f>SUM(E35:L35)</f>
        <v>0</v>
      </c>
    </row>
    <row r="36" spans="2:13 16384:16384" ht="23.25" customHeight="1" x14ac:dyDescent="0.25">
      <c r="B36" s="372"/>
      <c r="C36" s="208">
        <f>COUNTIF(F34:L34,"&gt;0")</f>
        <v>0</v>
      </c>
      <c r="D36" s="217" t="s">
        <v>124</v>
      </c>
      <c r="E36" s="210"/>
      <c r="F36" s="217"/>
      <c r="G36" s="217"/>
      <c r="H36" s="217"/>
      <c r="I36" s="217"/>
      <c r="J36" s="217"/>
      <c r="K36" s="217"/>
      <c r="L36" s="217"/>
    </row>
    <row r="37" spans="2:13 16384:16384" ht="15.75" x14ac:dyDescent="0.25">
      <c r="D37" s="265"/>
    </row>
    <row r="38" spans="2:13 16384:16384" ht="16.5" customHeight="1" x14ac:dyDescent="0.3">
      <c r="B38" s="211"/>
      <c r="C38" s="211"/>
      <c r="D38" s="211"/>
      <c r="E38" s="211"/>
      <c r="F38" s="211"/>
      <c r="G38" s="211"/>
      <c r="H38" s="211"/>
      <c r="I38" s="211"/>
      <c r="J38" s="211"/>
      <c r="K38" s="211"/>
      <c r="L38" s="211"/>
    </row>
    <row r="39" spans="2:13 16384:16384" ht="16.5" customHeight="1" x14ac:dyDescent="0.3">
      <c r="B39" s="211"/>
      <c r="C39" s="211"/>
      <c r="D39" s="211"/>
      <c r="E39" s="211"/>
      <c r="F39" s="211"/>
      <c r="G39" s="211"/>
      <c r="H39" s="211"/>
      <c r="I39" s="211"/>
      <c r="J39" s="211"/>
      <c r="K39" s="211"/>
      <c r="L39" s="211"/>
    </row>
    <row r="40" spans="2:13 16384:16384" ht="16.5" customHeight="1" x14ac:dyDescent="0.3">
      <c r="B40" s="211"/>
      <c r="C40" s="211"/>
      <c r="D40" s="211"/>
      <c r="E40" s="211"/>
      <c r="F40" s="211"/>
      <c r="G40" s="211"/>
      <c r="H40" s="211"/>
      <c r="I40" s="211"/>
      <c r="J40" s="211"/>
      <c r="K40" s="211"/>
      <c r="L40" s="211"/>
    </row>
    <row r="41" spans="2:13 16384:16384" s="19" customFormat="1" ht="16.5" customHeight="1" x14ac:dyDescent="0.25">
      <c r="B41" s="199" t="s">
        <v>115</v>
      </c>
      <c r="C41" s="196" t="s">
        <v>116</v>
      </c>
      <c r="D41" s="196"/>
      <c r="E41" s="196"/>
      <c r="F41" s="196"/>
      <c r="G41" s="196"/>
      <c r="H41" s="373" t="s">
        <v>125</v>
      </c>
      <c r="I41" s="373"/>
      <c r="J41" s="219" t="s">
        <v>126</v>
      </c>
      <c r="K41" s="198" t="s">
        <v>113</v>
      </c>
      <c r="L41" s="197" t="s">
        <v>114</v>
      </c>
      <c r="M41" s="196"/>
    </row>
  </sheetData>
  <mergeCells count="41">
    <mergeCell ref="H41:I41"/>
    <mergeCell ref="B35:B36"/>
    <mergeCell ref="C31:C32"/>
    <mergeCell ref="B31:B32"/>
    <mergeCell ref="B33:C34"/>
    <mergeCell ref="D31:D32"/>
    <mergeCell ref="D33:D34"/>
    <mergeCell ref="B7:C8"/>
    <mergeCell ref="B10:C13"/>
    <mergeCell ref="B14:C14"/>
    <mergeCell ref="B15:C16"/>
    <mergeCell ref="B17:C17"/>
    <mergeCell ref="B18:C19"/>
    <mergeCell ref="B20:C20"/>
    <mergeCell ref="B21:C21"/>
    <mergeCell ref="B22:C22"/>
    <mergeCell ref="B23:C24"/>
    <mergeCell ref="K20:K21"/>
    <mergeCell ref="F2:G2"/>
    <mergeCell ref="F4:G4"/>
    <mergeCell ref="D7:E8"/>
    <mergeCell ref="L28:L29"/>
    <mergeCell ref="F28:F29"/>
    <mergeCell ref="G28:G29"/>
    <mergeCell ref="H28:H29"/>
    <mergeCell ref="I28:I29"/>
    <mergeCell ref="J28:J29"/>
    <mergeCell ref="K28:K29"/>
    <mergeCell ref="F20:F21"/>
    <mergeCell ref="L20:L21"/>
    <mergeCell ref="G20:G21"/>
    <mergeCell ref="H20:H21"/>
    <mergeCell ref="I20:I21"/>
    <mergeCell ref="J20:J21"/>
    <mergeCell ref="D28:E29"/>
    <mergeCell ref="B25:C25"/>
    <mergeCell ref="B26:C27"/>
    <mergeCell ref="B28:C28"/>
    <mergeCell ref="D20:D21"/>
    <mergeCell ref="E20:E21"/>
    <mergeCell ref="B29:C29"/>
  </mergeCells>
  <conditionalFormatting sqref="F32:K32">
    <cfRule type="cellIs" dxfId="324" priority="35" operator="equal">
      <formula>"Off"</formula>
    </cfRule>
  </conditionalFormatting>
  <conditionalFormatting sqref="L32">
    <cfRule type="cellIs" dxfId="323" priority="34" operator="equal">
      <formula>"Off"</formula>
    </cfRule>
  </conditionalFormatting>
  <conditionalFormatting sqref="B33">
    <cfRule type="duplicateValues" dxfId="322" priority="33" stopIfTrue="1"/>
  </conditionalFormatting>
  <conditionalFormatting sqref="F35">
    <cfRule type="cellIs" dxfId="321" priority="27" operator="equal">
      <formula>3</formula>
    </cfRule>
    <cfRule type="cellIs" dxfId="320" priority="29" operator="equal">
      <formula>1</formula>
    </cfRule>
    <cfRule type="cellIs" dxfId="319" priority="30" operator="equal">
      <formula>2</formula>
    </cfRule>
    <cfRule type="cellIs" dxfId="318" priority="31" operator="equal">
      <formula>4</formula>
    </cfRule>
    <cfRule type="colorScale" priority="32">
      <colorScale>
        <cfvo type="num" val="1"/>
        <cfvo type="num" val="2.2999999999999998"/>
        <cfvo type="num" val="4"/>
        <color rgb="FFFF9966"/>
        <color rgb="FFFFEB84"/>
        <color theme="8" tint="-0.249977111117893"/>
      </colorScale>
    </cfRule>
  </conditionalFormatting>
  <conditionalFormatting sqref="F35">
    <cfRule type="cellIs" dxfId="317" priority="28" operator="equal">
      <formula>0</formula>
    </cfRule>
  </conditionalFormatting>
  <conditionalFormatting sqref="F35:L35">
    <cfRule type="cellIs" dxfId="316" priority="21" operator="equal">
      <formula>3</formula>
    </cfRule>
    <cfRule type="cellIs" dxfId="315" priority="23" operator="equal">
      <formula>1</formula>
    </cfRule>
    <cfRule type="cellIs" dxfId="314" priority="24" operator="equal">
      <formula>2</formula>
    </cfRule>
    <cfRule type="cellIs" dxfId="313" priority="25" operator="equal">
      <formula>4</formula>
    </cfRule>
    <cfRule type="colorScale" priority="26">
      <colorScale>
        <cfvo type="num" val="1"/>
        <cfvo type="num" val="2.2999999999999998"/>
        <cfvo type="num" val="4"/>
        <color rgb="FFFF9966"/>
        <color rgb="FFFFEB84"/>
        <color theme="8" tint="-0.249977111117893"/>
      </colorScale>
    </cfRule>
  </conditionalFormatting>
  <conditionalFormatting sqref="F35:L35">
    <cfRule type="cellIs" dxfId="312" priority="22" operator="equal">
      <formula>0</formula>
    </cfRule>
  </conditionalFormatting>
  <conditionalFormatting sqref="D35">
    <cfRule type="cellIs" dxfId="311" priority="19" operator="equal">
      <formula>0</formula>
    </cfRule>
    <cfRule type="colorScale" priority="20">
      <colorScale>
        <cfvo type="num" val="0.5"/>
        <cfvo type="num" val="0.8"/>
        <cfvo type="num" val="1"/>
        <color rgb="FFFF2F2F"/>
        <color rgb="FFFF9999"/>
        <color theme="8" tint="-0.249977111117893"/>
      </colorScale>
    </cfRule>
  </conditionalFormatting>
  <dataValidations count="5">
    <dataValidation type="list" allowBlank="1" showInputMessage="1" showErrorMessage="1" sqref="F9:L20 F22:L28 B33" xr:uid="{01CFE6A0-530D-D54A-838A-083EA202D331}">
      <formula1>List_Guard</formula1>
    </dataValidation>
    <dataValidation type="list" allowBlank="1" showInputMessage="1" showErrorMessage="1" sqref="D9:D20 D22:D28" xr:uid="{4A2EF46B-69E5-0D47-98F9-7F9B49275B00}">
      <formula1>Timer</formula1>
    </dataValidation>
    <dataValidation type="list" allowBlank="1" showInputMessage="1" showErrorMessage="1" prompt="Select One..." sqref="F33:L33" xr:uid="{8E053C09-E80A-4E4F-B7AC-79AC23628C6F}">
      <formula1>List_Eva</formula1>
    </dataValidation>
    <dataValidation type="list" allowBlank="1" showInputMessage="1" showErrorMessage="1" prompt="Select One..." sqref="F34:L34" xr:uid="{CC2D44A6-D1C5-4C6C-BE77-7CE13351FB28}">
      <formula1>List_Hrs</formula1>
    </dataValidation>
    <dataValidation type="list" allowBlank="1" showInputMessage="1" showErrorMessage="1" sqref="F36:L36" xr:uid="{780F760D-48A6-4981-BBD8-E8BB4F093B89}">
      <formula1>Details</formula1>
    </dataValidation>
  </dataValidations>
  <hyperlinks>
    <hyperlink ref="H41" r:id="rId1" xr:uid="{6ACF9D52-FC5B-4685-85B5-ED08D978317D}"/>
  </hyperlinks>
  <pageMargins left="0.7" right="0.7" top="0.5" bottom="0.52" header="0.3" footer="0.3"/>
  <pageSetup scale="72" fitToHeight="0" orientation="landscape" horizontalDpi="4294967292" r:id="rId2"/>
  <rowBreaks count="1" manualBreakCount="1">
    <brk id="29" max="12" man="1"/>
  </rowBreaks>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D63C1-A1A1-4736-AFF8-BCCD85B9F881}">
  <sheetPr codeName="Hoja16">
    <tabColor theme="6" tint="-0.249977111117893"/>
    <pageSetUpPr fitToPage="1"/>
  </sheetPr>
  <dimension ref="A1:XFD144"/>
  <sheetViews>
    <sheetView showGridLines="0" tabSelected="1" zoomScale="80" zoomScaleNormal="80" zoomScaleSheetLayoutView="46" workbookViewId="0" xr3:uid="{B2BB4E9F-FC59-57D6-9F60-D85CF7F020A3}">
      <pane xSplit="5" ySplit="8" topLeftCell="F66" activePane="bottomRight" state="frozen"/>
      <selection pane="bottomLeft" activeCell="A9" sqref="A9"/>
      <selection pane="topRight" activeCell="F1" sqref="F1"/>
      <selection pane="bottomRight" activeCell="G70" sqref="G70"/>
    </sheetView>
  </sheetViews>
  <sheetFormatPr defaultColWidth="0" defaultRowHeight="0" customHeight="1" zeroHeight="1" x14ac:dyDescent="0.25"/>
  <cols>
    <col min="1" max="1" width="2.04296875" customWidth="1"/>
    <col min="2" max="2" width="20.453125" customWidth="1"/>
    <col min="3" max="3" width="6.81640625" bestFit="1" customWidth="1"/>
    <col min="4" max="4" width="10.49609375" style="265" bestFit="1" customWidth="1"/>
    <col min="5" max="5" width="5.1796875" style="179" bestFit="1" customWidth="1"/>
    <col min="6" max="6" width="18.6796875" style="17" bestFit="1" customWidth="1"/>
    <col min="7" max="7" width="18.40625" customWidth="1"/>
    <col min="8" max="9" width="17.453125" bestFit="1" customWidth="1"/>
    <col min="10" max="11" width="18.26953125" bestFit="1" customWidth="1"/>
    <col min="12" max="12" width="18.6796875" bestFit="1" customWidth="1"/>
    <col min="13" max="13" width="3.26953125" style="19" customWidth="1"/>
    <col min="14" max="16383" width="9.953125" hidden="1"/>
    <col min="16384" max="16384" width="5.453125" hidden="1" customWidth="1"/>
  </cols>
  <sheetData>
    <row r="1" spans="2:13" ht="33" customHeight="1" x14ac:dyDescent="0.25">
      <c r="B1" s="19"/>
      <c r="C1" s="19"/>
      <c r="D1" s="20"/>
      <c r="E1" s="182"/>
      <c r="F1" s="114"/>
      <c r="G1" s="19"/>
      <c r="H1" s="19"/>
      <c r="I1" s="19"/>
      <c r="J1" s="19"/>
      <c r="K1" s="19"/>
      <c r="L1" s="249"/>
      <c r="M1" s="196"/>
    </row>
    <row r="2" spans="2:13" ht="24.75" customHeight="1" x14ac:dyDescent="0.3">
      <c r="B2" s="248"/>
      <c r="C2" s="248"/>
      <c r="D2" s="248"/>
      <c r="E2" s="248"/>
      <c r="F2" s="355" t="s">
        <v>18</v>
      </c>
      <c r="G2" s="355"/>
      <c r="H2" s="200"/>
      <c r="I2" s="257" t="s">
        <v>17</v>
      </c>
      <c r="J2" s="249">
        <f>IF((F8),F8," ")</f>
        <v>43282</v>
      </c>
      <c r="K2" s="122" t="s">
        <v>16</v>
      </c>
      <c r="L2" s="249">
        <f>L8</f>
        <v>43288</v>
      </c>
      <c r="M2" s="196"/>
    </row>
    <row r="3" spans="2:13" ht="28.5" x14ac:dyDescent="0.45">
      <c r="B3" s="248"/>
      <c r="C3" s="248"/>
      <c r="D3" s="248"/>
      <c r="E3" s="248"/>
      <c r="F3" s="183"/>
      <c r="G3" s="183"/>
      <c r="H3" s="201"/>
      <c r="I3" s="183"/>
      <c r="J3" s="249"/>
      <c r="K3" s="257"/>
      <c r="L3" s="249"/>
      <c r="M3" s="196"/>
    </row>
    <row r="4" spans="2:13" ht="21" x14ac:dyDescent="0.25">
      <c r="B4" s="248" t="s">
        <v>13</v>
      </c>
      <c r="C4" s="248"/>
      <c r="D4" s="248">
        <f>Employeed!C38</f>
        <v>60029</v>
      </c>
      <c r="E4" s="248"/>
      <c r="F4" s="356" t="s">
        <v>15</v>
      </c>
      <c r="G4" s="356"/>
      <c r="H4" s="24" t="s">
        <v>14</v>
      </c>
      <c r="I4" s="24"/>
      <c r="J4" s="24"/>
      <c r="K4" s="248"/>
      <c r="L4" s="248"/>
      <c r="M4" s="196"/>
    </row>
    <row r="5" spans="2:13" ht="15.75" x14ac:dyDescent="0.25">
      <c r="B5" s="248" t="s">
        <v>13</v>
      </c>
      <c r="C5" s="248"/>
      <c r="D5" s="248">
        <f>Employeed!D1</f>
        <v>3502</v>
      </c>
      <c r="E5" s="183">
        <v>0.33333333333333331</v>
      </c>
      <c r="F5" s="195"/>
      <c r="G5" s="195"/>
      <c r="H5" s="24" t="s">
        <v>12</v>
      </c>
      <c r="I5" s="115" t="str">
        <f>Employeed!C39</f>
        <v>(505) 344-1900</v>
      </c>
      <c r="J5" s="24"/>
      <c r="K5" s="24"/>
      <c r="L5" s="115"/>
      <c r="M5" s="196"/>
    </row>
    <row r="6" spans="2:13" ht="12" customHeight="1" x14ac:dyDescent="0.25">
      <c r="B6" s="248"/>
      <c r="C6" s="248"/>
      <c r="D6" s="248"/>
      <c r="E6" s="248"/>
      <c r="F6" s="258"/>
      <c r="G6" s="258"/>
      <c r="H6" s="248"/>
      <c r="I6" s="26"/>
      <c r="J6" s="26"/>
      <c r="K6" s="248"/>
      <c r="L6" s="248"/>
      <c r="M6" s="196"/>
    </row>
    <row r="7" spans="2:13" ht="16.5" customHeight="1" x14ac:dyDescent="0.25">
      <c r="B7" s="357" t="s">
        <v>30</v>
      </c>
      <c r="C7" s="358"/>
      <c r="D7" s="314" t="s">
        <v>31</v>
      </c>
      <c r="E7" s="314" t="s">
        <v>128</v>
      </c>
      <c r="F7" s="259" t="s">
        <v>10</v>
      </c>
      <c r="G7" s="260" t="s">
        <v>9</v>
      </c>
      <c r="H7" s="261" t="s">
        <v>8</v>
      </c>
      <c r="I7" s="262" t="s">
        <v>7</v>
      </c>
      <c r="J7" s="263" t="s">
        <v>94</v>
      </c>
      <c r="K7" s="264" t="s">
        <v>5</v>
      </c>
      <c r="L7" s="255" t="s">
        <v>4</v>
      </c>
      <c r="M7" s="196"/>
    </row>
    <row r="8" spans="2:13" s="2" customFormat="1" ht="16.5" customHeight="1" x14ac:dyDescent="0.25">
      <c r="B8" s="359"/>
      <c r="C8" s="360"/>
      <c r="D8" s="378"/>
      <c r="E8" s="378"/>
      <c r="F8" s="250">
        <v>43282</v>
      </c>
      <c r="G8" s="251">
        <f t="shared" ref="G8:L8" si="0">F8+1</f>
        <v>43283</v>
      </c>
      <c r="H8" s="252">
        <f t="shared" si="0"/>
        <v>43284</v>
      </c>
      <c r="I8" s="253">
        <f t="shared" si="0"/>
        <v>43285</v>
      </c>
      <c r="J8" s="254">
        <f t="shared" si="0"/>
        <v>43286</v>
      </c>
      <c r="K8" s="246">
        <f t="shared" si="0"/>
        <v>43287</v>
      </c>
      <c r="L8" s="247">
        <f t="shared" si="0"/>
        <v>43288</v>
      </c>
      <c r="M8" s="196"/>
    </row>
    <row r="9" spans="2:13" ht="26.25" customHeight="1" x14ac:dyDescent="0.25">
      <c r="B9" s="266"/>
      <c r="C9" s="267"/>
      <c r="D9" s="270" t="s">
        <v>0</v>
      </c>
      <c r="E9" s="270">
        <v>8</v>
      </c>
      <c r="F9" s="116"/>
      <c r="G9" s="116" t="s">
        <v>88</v>
      </c>
      <c r="H9" s="116" t="s">
        <v>41</v>
      </c>
      <c r="I9" s="116" t="s">
        <v>41</v>
      </c>
      <c r="J9" s="116" t="s">
        <v>41</v>
      </c>
      <c r="K9" s="116" t="s">
        <v>85</v>
      </c>
      <c r="L9" s="116" t="s">
        <v>112</v>
      </c>
      <c r="M9" s="196"/>
    </row>
    <row r="10" spans="2:13" ht="26.25" customHeight="1" x14ac:dyDescent="0.25">
      <c r="B10" s="349" t="s">
        <v>3</v>
      </c>
      <c r="C10" s="350"/>
      <c r="D10" s="270" t="s">
        <v>23</v>
      </c>
      <c r="E10" s="270">
        <v>12</v>
      </c>
      <c r="F10" s="116" t="s">
        <v>110</v>
      </c>
      <c r="G10" s="116"/>
      <c r="H10" s="116"/>
      <c r="I10" s="116"/>
      <c r="J10" s="116"/>
      <c r="K10" s="116"/>
      <c r="L10" s="116"/>
      <c r="M10" s="196"/>
    </row>
    <row r="11" spans="2:13" ht="26.25" customHeight="1" x14ac:dyDescent="0.25">
      <c r="B11" s="349"/>
      <c r="C11" s="350"/>
      <c r="D11" s="270" t="s">
        <v>1</v>
      </c>
      <c r="E11" s="270">
        <v>8</v>
      </c>
      <c r="F11" s="116"/>
      <c r="G11" s="116" t="s">
        <v>39</v>
      </c>
      <c r="H11" s="116" t="s">
        <v>40</v>
      </c>
      <c r="I11" s="116" t="s">
        <v>87</v>
      </c>
      <c r="J11" s="116" t="s">
        <v>42</v>
      </c>
      <c r="K11" s="116" t="s">
        <v>42</v>
      </c>
      <c r="L11" s="116" t="s">
        <v>42</v>
      </c>
      <c r="M11" s="196"/>
    </row>
    <row r="12" spans="2:13" ht="26.25" customHeight="1" x14ac:dyDescent="0.25">
      <c r="B12" s="353"/>
      <c r="C12" s="354"/>
      <c r="D12" s="270" t="s">
        <v>0</v>
      </c>
      <c r="E12" s="270">
        <v>8</v>
      </c>
      <c r="F12" s="116"/>
      <c r="G12" s="116" t="s">
        <v>44</v>
      </c>
      <c r="H12" s="116" t="s">
        <v>44</v>
      </c>
      <c r="I12" s="116" t="s">
        <v>45</v>
      </c>
      <c r="J12" s="116" t="s">
        <v>44</v>
      </c>
      <c r="K12" s="116" t="s">
        <v>44</v>
      </c>
      <c r="L12" s="116" t="s">
        <v>44</v>
      </c>
      <c r="M12" s="196"/>
    </row>
    <row r="13" spans="2:13" ht="26.25" customHeight="1" x14ac:dyDescent="0.25">
      <c r="B13" s="349" t="s">
        <v>22</v>
      </c>
      <c r="C13" s="350"/>
      <c r="D13" s="270" t="s">
        <v>23</v>
      </c>
      <c r="E13" s="270">
        <v>12</v>
      </c>
      <c r="F13" s="116" t="s">
        <v>45</v>
      </c>
      <c r="G13" s="116"/>
      <c r="H13" s="116"/>
      <c r="I13" s="116"/>
      <c r="J13" s="116"/>
      <c r="K13" s="116"/>
      <c r="L13" s="116"/>
      <c r="M13" s="196"/>
    </row>
    <row r="14" spans="2:13" ht="26.25" customHeight="1" x14ac:dyDescent="0.25">
      <c r="B14" s="351"/>
      <c r="C14" s="352"/>
      <c r="D14" s="270" t="s">
        <v>1</v>
      </c>
      <c r="E14" s="270">
        <v>8</v>
      </c>
      <c r="F14" s="116"/>
      <c r="G14" s="116" t="s">
        <v>71</v>
      </c>
      <c r="H14" s="116" t="s">
        <v>85</v>
      </c>
      <c r="I14" s="116" t="s">
        <v>39</v>
      </c>
      <c r="J14" s="116" t="s">
        <v>71</v>
      </c>
      <c r="K14" s="116" t="s">
        <v>110</v>
      </c>
      <c r="L14" s="116" t="s">
        <v>110</v>
      </c>
      <c r="M14" s="196"/>
    </row>
    <row r="15" spans="2:13" ht="26.25" customHeight="1" x14ac:dyDescent="0.25">
      <c r="B15" s="353"/>
      <c r="C15" s="354"/>
      <c r="D15" s="270" t="s">
        <v>32</v>
      </c>
      <c r="E15" s="270">
        <v>6</v>
      </c>
      <c r="F15" s="116" t="s">
        <v>42</v>
      </c>
      <c r="G15" s="116" t="s">
        <v>45</v>
      </c>
      <c r="H15" s="116"/>
      <c r="I15" s="116"/>
      <c r="J15" s="116"/>
      <c r="K15" s="116"/>
      <c r="L15" s="116"/>
      <c r="M15" s="196"/>
    </row>
    <row r="16" spans="2:13" ht="26.25" customHeight="1" x14ac:dyDescent="0.25">
      <c r="B16" s="349" t="s">
        <v>24</v>
      </c>
      <c r="C16" s="350"/>
      <c r="D16" s="270" t="s">
        <v>27</v>
      </c>
      <c r="E16" s="270">
        <v>11</v>
      </c>
      <c r="F16" s="116" t="s">
        <v>49</v>
      </c>
      <c r="G16" s="116" t="s">
        <v>49</v>
      </c>
      <c r="H16" s="116" t="s">
        <v>96</v>
      </c>
      <c r="I16" s="116" t="s">
        <v>111</v>
      </c>
      <c r="J16" s="116" t="s">
        <v>96</v>
      </c>
      <c r="K16" s="116" t="s">
        <v>96</v>
      </c>
      <c r="L16" s="116" t="s">
        <v>96</v>
      </c>
      <c r="M16" s="196"/>
    </row>
    <row r="17" spans="2:14" ht="26.25" customHeight="1" x14ac:dyDescent="0.25">
      <c r="B17" s="351"/>
      <c r="C17" s="352"/>
      <c r="D17" s="270" t="s">
        <v>25</v>
      </c>
      <c r="E17" s="270">
        <v>6</v>
      </c>
      <c r="F17" s="116" t="s">
        <v>87</v>
      </c>
      <c r="G17" s="116" t="s">
        <v>42</v>
      </c>
      <c r="H17" s="116"/>
      <c r="I17" s="116"/>
      <c r="J17" s="116"/>
      <c r="K17" s="116"/>
      <c r="L17" s="116"/>
      <c r="M17" s="196"/>
    </row>
    <row r="18" spans="2:14" s="17" customFormat="1" ht="26.25" customHeight="1" x14ac:dyDescent="0.25">
      <c r="B18" s="220" t="s">
        <v>26</v>
      </c>
      <c r="C18" s="191"/>
      <c r="D18" s="256" t="s">
        <v>36</v>
      </c>
      <c r="E18" s="256">
        <v>6</v>
      </c>
      <c r="F18" s="268" t="s">
        <v>41</v>
      </c>
      <c r="G18" s="268"/>
      <c r="H18" s="268"/>
      <c r="I18" s="268"/>
      <c r="J18" s="268"/>
      <c r="K18" s="268"/>
      <c r="L18" s="268" t="s">
        <v>40</v>
      </c>
      <c r="M18" s="196"/>
    </row>
    <row r="19" spans="2:14" ht="26.25" customHeight="1" x14ac:dyDescent="0.25">
      <c r="B19" s="353"/>
      <c r="C19" s="354"/>
      <c r="D19" s="270" t="s">
        <v>0</v>
      </c>
      <c r="E19" s="270">
        <v>8</v>
      </c>
      <c r="F19" s="116"/>
      <c r="G19" s="116" t="s">
        <v>87</v>
      </c>
      <c r="H19" s="116" t="s">
        <v>45</v>
      </c>
      <c r="I19" s="116" t="s">
        <v>88</v>
      </c>
      <c r="J19" s="116" t="s">
        <v>88</v>
      </c>
      <c r="K19" s="116" t="s">
        <v>41</v>
      </c>
      <c r="L19" s="116" t="s">
        <v>88</v>
      </c>
      <c r="M19" s="196"/>
    </row>
    <row r="20" spans="2:14" ht="26.25" customHeight="1" x14ac:dyDescent="0.25">
      <c r="B20" s="349" t="s">
        <v>33</v>
      </c>
      <c r="C20" s="350"/>
      <c r="D20" s="270" t="s">
        <v>23</v>
      </c>
      <c r="E20" s="270">
        <v>12</v>
      </c>
      <c r="F20" s="116" t="s">
        <v>85</v>
      </c>
      <c r="G20" s="116"/>
      <c r="H20" s="116"/>
      <c r="I20" s="116"/>
      <c r="J20" s="116"/>
      <c r="K20" s="116"/>
      <c r="L20" s="116"/>
      <c r="M20" s="196"/>
    </row>
    <row r="21" spans="2:14" ht="26.25" customHeight="1" x14ac:dyDescent="0.25">
      <c r="B21" s="351"/>
      <c r="C21" s="352"/>
      <c r="D21" s="270" t="s">
        <v>1</v>
      </c>
      <c r="E21" s="270">
        <v>8</v>
      </c>
      <c r="F21" s="116"/>
      <c r="G21" s="116" t="s">
        <v>110</v>
      </c>
      <c r="H21" s="116" t="s">
        <v>39</v>
      </c>
      <c r="I21" s="116" t="s">
        <v>40</v>
      </c>
      <c r="J21" s="116" t="s">
        <v>39</v>
      </c>
      <c r="K21" s="116" t="s">
        <v>71</v>
      </c>
      <c r="L21" s="116" t="s">
        <v>87</v>
      </c>
      <c r="M21" s="196"/>
    </row>
    <row r="22" spans="2:14" ht="26.25" customHeight="1" x14ac:dyDescent="0.25">
      <c r="B22" s="353"/>
      <c r="C22" s="354"/>
      <c r="D22" s="270" t="s">
        <v>0</v>
      </c>
      <c r="E22" s="270">
        <v>8</v>
      </c>
      <c r="F22" s="116"/>
      <c r="G22" s="116" t="s">
        <v>43</v>
      </c>
      <c r="H22" s="116" t="s">
        <v>88</v>
      </c>
      <c r="I22" s="116" t="s">
        <v>43</v>
      </c>
      <c r="J22" s="116" t="s">
        <v>43</v>
      </c>
      <c r="K22" s="116" t="s">
        <v>40</v>
      </c>
      <c r="L22" s="116" t="s">
        <v>39</v>
      </c>
      <c r="M22" s="196"/>
    </row>
    <row r="23" spans="2:14" ht="26.25" customHeight="1" x14ac:dyDescent="0.25">
      <c r="B23" s="349" t="s">
        <v>70</v>
      </c>
      <c r="C23" s="350"/>
      <c r="D23" s="270" t="s">
        <v>23</v>
      </c>
      <c r="E23" s="270">
        <v>12</v>
      </c>
      <c r="F23" s="116" t="s">
        <v>40</v>
      </c>
      <c r="G23" s="116"/>
      <c r="H23" s="116"/>
      <c r="I23" s="116"/>
      <c r="J23" s="116"/>
      <c r="K23" s="116"/>
      <c r="L23" s="116"/>
      <c r="M23" s="196"/>
    </row>
    <row r="24" spans="2:14" ht="26.25" customHeight="1" x14ac:dyDescent="0.25">
      <c r="B24" s="351"/>
      <c r="C24" s="352"/>
      <c r="D24" s="270" t="s">
        <v>1</v>
      </c>
      <c r="E24" s="270">
        <v>8</v>
      </c>
      <c r="F24" s="116"/>
      <c r="G24" s="116" t="s">
        <v>85</v>
      </c>
      <c r="H24" s="116" t="s">
        <v>71</v>
      </c>
      <c r="I24" s="116" t="s">
        <v>71</v>
      </c>
      <c r="J24" s="116" t="s">
        <v>110</v>
      </c>
      <c r="K24" s="116" t="s">
        <v>87</v>
      </c>
      <c r="L24" s="116" t="s">
        <v>112</v>
      </c>
      <c r="M24" s="196"/>
    </row>
    <row r="25" spans="2:14" ht="15.75" x14ac:dyDescent="0.25">
      <c r="B25" s="353" t="s">
        <v>34</v>
      </c>
      <c r="C25" s="354"/>
      <c r="D25" s="365" t="s">
        <v>29</v>
      </c>
      <c r="E25" s="365"/>
      <c r="F25" s="291"/>
      <c r="G25" s="362"/>
      <c r="H25" s="362"/>
      <c r="I25" s="362"/>
      <c r="J25" s="362"/>
      <c r="K25" s="362"/>
      <c r="L25" s="362"/>
      <c r="M25" s="196"/>
      <c r="N25" s="364"/>
    </row>
    <row r="26" spans="2:14" ht="18" customHeight="1" x14ac:dyDescent="0.25">
      <c r="B26" s="351" t="s">
        <v>35</v>
      </c>
      <c r="C26" s="352"/>
      <c r="D26" s="365"/>
      <c r="E26" s="365"/>
      <c r="F26" s="293"/>
      <c r="G26" s="363"/>
      <c r="H26" s="363"/>
      <c r="I26" s="363"/>
      <c r="J26" s="363"/>
      <c r="K26" s="363"/>
      <c r="L26" s="363"/>
      <c r="M26" s="196"/>
      <c r="N26" s="364"/>
    </row>
    <row r="27" spans="2:14" ht="18" customHeight="1" x14ac:dyDescent="0.25">
      <c r="B27" s="192"/>
      <c r="C27" s="192"/>
      <c r="D27" s="193"/>
      <c r="E27" s="193"/>
      <c r="F27" s="194"/>
      <c r="G27" s="194"/>
      <c r="H27" s="194"/>
      <c r="I27" s="194"/>
      <c r="J27" s="194"/>
      <c r="K27" s="194"/>
      <c r="L27" s="194"/>
      <c r="M27" s="196"/>
      <c r="N27" s="273"/>
    </row>
    <row r="28" spans="2:14" ht="18" customHeight="1" x14ac:dyDescent="0.25">
      <c r="B28" s="192"/>
      <c r="C28" s="192"/>
      <c r="D28" s="193"/>
      <c r="E28" s="193"/>
      <c r="F28" s="194"/>
      <c r="G28" s="194"/>
      <c r="H28" s="194"/>
      <c r="I28" s="194"/>
      <c r="J28" s="194"/>
      <c r="K28" s="194"/>
      <c r="L28" s="194"/>
      <c r="M28" s="196"/>
      <c r="N28" s="269"/>
    </row>
    <row r="29" spans="2:14" ht="18" customHeight="1" x14ac:dyDescent="0.25">
      <c r="B29" s="374">
        <f>D30/Total_Hrs</f>
        <v>1.5296367112810707E-2</v>
      </c>
      <c r="C29" s="375"/>
      <c r="D29" s="274">
        <f>SUM(F29:L29)</f>
        <v>523</v>
      </c>
      <c r="E29" s="193"/>
      <c r="F29" s="272">
        <f t="array" ref="F29">F32+F39+F46+F53+F60+F67+F74+F81+F88+F95+F102+F109+F116+F123+F130+F137</f>
        <v>66</v>
      </c>
      <c r="G29" s="272">
        <f t="array" ref="G29">G32+G39+G46+G53+G60+G67+G74+G81+G88+G95+G102+G109+G116+G123+G130+G137</f>
        <v>76</v>
      </c>
      <c r="H29" s="272">
        <f t="array" ref="H29">H32+H39+H46+H53+H60+H67+H74+H81+H88+H95+H102+H109+H116+H123+H130+H137</f>
        <v>75</v>
      </c>
      <c r="I29" s="272">
        <f t="array" ref="I29">I32+I39+I46+I53+I60+I67+I74+I81+I88+I95+I102+I109+I116+I123+I130+I137</f>
        <v>75</v>
      </c>
      <c r="J29" s="272">
        <f t="array" ref="J29">J32+J39+J46+J53+J60+J67+J74+J81+J88+J95+J102+J109+J116+J123+J130+J137</f>
        <v>75</v>
      </c>
      <c r="K29" s="272">
        <f t="array" ref="K29">K32+K39+K46+K53+K60+K67+K74+K81+K88+K95+K102+K109+K116+K123+K130+K137</f>
        <v>75</v>
      </c>
      <c r="L29" s="272">
        <f t="array" ref="L29">L32+L39+L46+L53+L60+L67+L74+L81+L88+L95+L102+L109+L116+L123+L130+L137</f>
        <v>81</v>
      </c>
      <c r="M29" s="196"/>
      <c r="N29" s="271"/>
    </row>
    <row r="30" spans="2:14" ht="18" customHeight="1" x14ac:dyDescent="0.25">
      <c r="B30" s="376"/>
      <c r="C30" s="377"/>
      <c r="D30" s="274">
        <f>SUM(F30:L30)</f>
        <v>8</v>
      </c>
      <c r="E30" s="193"/>
      <c r="F30" s="272">
        <f t="array" ref="F30">F35+F42+F49+F56+F63+F70+F77+F84+F91+F98+F105+F112+F119+F126+F133+F140</f>
        <v>8</v>
      </c>
      <c r="G30" s="272">
        <f t="array" ref="G30">G35+G42+G49+G56+G63+G70+G77+G84+G91+G98+G105+G112+G119+G126+G133+G140</f>
        <v>0</v>
      </c>
      <c r="H30" s="272">
        <f t="array" ref="H30">H35+H42+H49+H56+H63+H70+H77+H84+H91+H98+H105+H112+H119+H126+H133+H140</f>
        <v>0</v>
      </c>
      <c r="I30" s="272">
        <f t="array" ref="I30">I35+I42+I49+I56+I63+I70+I77+I84+I91+I98+I105+I112+I119+I126+I133+I140</f>
        <v>0</v>
      </c>
      <c r="J30" s="272">
        <f t="array" ref="J30">J35+J42+J49+J56+J63+J70+J77+J84+J91+J98+J105+J112+J119+J126+J133+J140</f>
        <v>0</v>
      </c>
      <c r="K30" s="272">
        <f t="array" ref="K30">K35+K42+K49+K56+K63+K70+K77+K84+K91+K98+K105+K112+K119+K126+K133+K140</f>
        <v>0</v>
      </c>
      <c r="L30" s="272">
        <f t="array" ref="L30">L35+L42+L49+L56+L63+L70+L77+L84+L91+L98+L105+L112+L119+L126+L133+L140</f>
        <v>0</v>
      </c>
      <c r="M30" s="196"/>
      <c r="N30" s="271"/>
    </row>
    <row r="31" spans="2:14" ht="15.75" x14ac:dyDescent="0.25">
      <c r="B31" s="212"/>
      <c r="C31" s="212"/>
      <c r="D31" s="212"/>
      <c r="E31" s="212"/>
      <c r="F31" s="212"/>
      <c r="G31" s="212"/>
      <c r="H31" s="212"/>
      <c r="I31" s="212"/>
      <c r="J31" s="212"/>
      <c r="K31" s="212"/>
      <c r="L31" s="212"/>
      <c r="M31" s="196"/>
    </row>
    <row r="32" spans="2:14" ht="16.5" customHeight="1" x14ac:dyDescent="0.25">
      <c r="B32" s="366" t="s">
        <v>106</v>
      </c>
      <c r="C32" s="367">
        <f>SUM(F32:L32)</f>
        <v>42</v>
      </c>
      <c r="D32" s="368" t="s">
        <v>105</v>
      </c>
      <c r="E32" s="193"/>
      <c r="F32" s="190">
        <f>IFERROR(INDEX(Hr,MATCH($B34,Sun,0),0),0)</f>
        <v>12</v>
      </c>
      <c r="G32" s="190">
        <f>IFERROR(INDEX(Hr,MATCH($B34,Mon,0),0),0)</f>
        <v>0</v>
      </c>
      <c r="H32" s="190">
        <f>IFERROR(INDEX(Hr,MATCH($B34,Tue,0),0),0)</f>
        <v>8</v>
      </c>
      <c r="I32" s="190">
        <f>IFERROR(INDEX(Hr,MATCH($B34,Wed,0),0),0)</f>
        <v>8</v>
      </c>
      <c r="J32" s="190">
        <f>IFERROR(INDEX(Hr,MATCH($B34,Thr,0),0),0)</f>
        <v>0</v>
      </c>
      <c r="K32" s="190">
        <f>IFERROR(INDEX(Hr,MATCH($B34,Fri,0),0),0)</f>
        <v>8</v>
      </c>
      <c r="L32" s="190">
        <f>IFERROR(INDEX(Hr,MATCH($B34,Sat,0),0),0)</f>
        <v>6</v>
      </c>
      <c r="M32" s="196"/>
    </row>
    <row r="33" spans="2:13 16384:16384" ht="16.5" customHeight="1" x14ac:dyDescent="0.25">
      <c r="B33" s="366"/>
      <c r="C33" s="367"/>
      <c r="D33" s="368"/>
      <c r="E33" s="193"/>
      <c r="F33" s="275" t="str">
        <f>IFERROR(REPLACE(VLOOKUP($B34,Sun,1,FALSE),1,65, "On"),"Off")</f>
        <v>On</v>
      </c>
      <c r="G33" s="275" t="str">
        <f>IFERROR(REPLACE(VLOOKUP($B34,Mon,1,FALSE),1,65, "On"),"Off")</f>
        <v>Off</v>
      </c>
      <c r="H33" s="275" t="str">
        <f>IFERROR(REPLACE(VLOOKUP($B34,Tue,1,FALSE),1,65, "On"),"Off")</f>
        <v>On</v>
      </c>
      <c r="I33" s="275" t="str">
        <f>IFERROR(REPLACE(VLOOKUP($B34,Wed,1,FALSE),1,65, "On"),"Off")</f>
        <v>On</v>
      </c>
      <c r="J33" s="275" t="str">
        <f>IFERROR(REPLACE(VLOOKUP($B34,Thr,1,FALSE),1,65, "On"),"Off")</f>
        <v>Off</v>
      </c>
      <c r="K33" s="275" t="str">
        <f>IFERROR(REPLACE(VLOOKUP($B34,Fri,1,FALSE),1,65, "On"),"Off")</f>
        <v>On</v>
      </c>
      <c r="L33" s="275" t="str">
        <f>IFERROR(REPLACE(VLOOKUP($B34,Sat,1,FALSE),1,65, "On"),"Off")</f>
        <v>On</v>
      </c>
      <c r="M33" s="196"/>
    </row>
    <row r="34" spans="2:13 16384:16384" ht="16.5" customHeight="1" x14ac:dyDescent="0.25">
      <c r="B34" s="369" t="s">
        <v>40</v>
      </c>
      <c r="C34" s="369"/>
      <c r="D34" s="370">
        <f>SUM(F35:L35)</f>
        <v>8</v>
      </c>
      <c r="E34" s="193"/>
      <c r="F34" s="202"/>
      <c r="G34" s="202"/>
      <c r="H34" s="202"/>
      <c r="I34" s="202"/>
      <c r="J34" s="202"/>
      <c r="K34" s="202"/>
      <c r="L34" s="202"/>
      <c r="M34" s="196"/>
    </row>
    <row r="35" spans="2:13 16384:16384" ht="16.5" customHeight="1" x14ac:dyDescent="0.25">
      <c r="B35" s="369"/>
      <c r="C35" s="369"/>
      <c r="D35" s="370"/>
      <c r="E35" s="193"/>
      <c r="F35" s="177">
        <v>8</v>
      </c>
      <c r="G35" s="177"/>
      <c r="H35" s="177"/>
      <c r="I35" s="177"/>
      <c r="J35" s="177"/>
      <c r="K35" s="177"/>
      <c r="L35" s="177"/>
      <c r="M35" s="196"/>
    </row>
    <row r="36" spans="2:13 16384:16384" s="205" customFormat="1" ht="21.75" customHeight="1" x14ac:dyDescent="0.25">
      <c r="B36" s="371" t="str">
        <f>"Day's: "&amp;COUNTIF(F32:L32,"&gt;0")</f>
        <v>Day's: 5</v>
      </c>
      <c r="C36" s="209" t="s">
        <v>117</v>
      </c>
      <c r="D36" s="218">
        <f>IF(C37,SUM(F35:L35)/C32,XFD36/1000)</f>
        <v>0.19047619047619047</v>
      </c>
      <c r="E36" s="193"/>
      <c r="F36" s="207">
        <f t="shared" ref="F36:L36" si="1">IFERROR(MATCH(F34,Time_Eva,0),0)</f>
        <v>0</v>
      </c>
      <c r="G36" s="207">
        <f t="shared" si="1"/>
        <v>0</v>
      </c>
      <c r="H36" s="207">
        <f t="shared" si="1"/>
        <v>0</v>
      </c>
      <c r="I36" s="207">
        <f t="shared" si="1"/>
        <v>0</v>
      </c>
      <c r="J36" s="207">
        <f t="shared" si="1"/>
        <v>0</v>
      </c>
      <c r="K36" s="207">
        <f t="shared" si="1"/>
        <v>0</v>
      </c>
      <c r="L36" s="207">
        <f t="shared" si="1"/>
        <v>0</v>
      </c>
      <c r="M36" s="196"/>
      <c r="XFD36">
        <f>SUM(E36:L36)</f>
        <v>0</v>
      </c>
    </row>
    <row r="37" spans="2:13 16384:16384" ht="23.25" customHeight="1" x14ac:dyDescent="0.25">
      <c r="B37" s="372"/>
      <c r="C37" s="208">
        <f>COUNTIF(F35:L35,"&gt;0")</f>
        <v>1</v>
      </c>
      <c r="D37" s="217" t="s">
        <v>124</v>
      </c>
      <c r="E37" s="193"/>
      <c r="F37" s="217"/>
      <c r="G37" s="217"/>
      <c r="H37" s="217"/>
      <c r="I37" s="217"/>
      <c r="J37" s="217"/>
      <c r="K37" s="217"/>
      <c r="L37" s="217"/>
    </row>
    <row r="38" spans="2:13 16384:16384" ht="16.5" customHeight="1" x14ac:dyDescent="0.3">
      <c r="B38" s="178"/>
      <c r="C38" s="178"/>
      <c r="D38" s="178"/>
      <c r="E38" s="193"/>
      <c r="F38" s="178"/>
      <c r="G38" s="178"/>
      <c r="H38" s="178"/>
      <c r="I38" s="178"/>
      <c r="J38" s="178"/>
      <c r="K38" s="178"/>
      <c r="L38" s="178"/>
      <c r="M38" s="196"/>
    </row>
    <row r="39" spans="2:13 16384:16384" ht="16.5" customHeight="1" x14ac:dyDescent="0.25">
      <c r="B39" s="366" t="s">
        <v>106</v>
      </c>
      <c r="C39" s="367">
        <f>SUM(F39:L39)</f>
        <v>40</v>
      </c>
      <c r="D39" s="368" t="s">
        <v>105</v>
      </c>
      <c r="E39" s="193"/>
      <c r="F39" s="190">
        <f>IFERROR(INDEX(Hr,MATCH($B41,Sun,0),0),0)</f>
        <v>0</v>
      </c>
      <c r="G39" s="190">
        <f>IFERROR(INDEX(Hr,MATCH($B41,Mon,0),0),0)</f>
        <v>8</v>
      </c>
      <c r="H39" s="190">
        <f>IFERROR(INDEX(Hr,MATCH($B41,Tue,0),0),0)</f>
        <v>8</v>
      </c>
      <c r="I39" s="190">
        <f>IFERROR(INDEX(Hr,MATCH($B41,Wed,0),0),0)</f>
        <v>0</v>
      </c>
      <c r="J39" s="190">
        <f>IFERROR(INDEX(Hr,MATCH($B41,Thr,0),0),0)</f>
        <v>8</v>
      </c>
      <c r="K39" s="190">
        <f>IFERROR(INDEX(Hr,MATCH($B41,Fri,0),0),0)</f>
        <v>8</v>
      </c>
      <c r="L39" s="190">
        <f>IFERROR(INDEX(Hr,MATCH($B41,Sat,0),0),0)</f>
        <v>8</v>
      </c>
      <c r="M39" s="196"/>
    </row>
    <row r="40" spans="2:13 16384:16384" ht="16.5" customHeight="1" x14ac:dyDescent="0.25">
      <c r="B40" s="366"/>
      <c r="C40" s="367"/>
      <c r="D40" s="368"/>
      <c r="E40" s="193"/>
      <c r="F40" s="276" t="str">
        <f>IFERROR(REPLACE(VLOOKUP($B41,Sun,1,FALSE),1,65, "On"),"Off")</f>
        <v>Off</v>
      </c>
      <c r="G40" s="276" t="str">
        <f>IFERROR(REPLACE(VLOOKUP($B41,Mon,1,FALSE),1,65, "On"),"Off")</f>
        <v>On</v>
      </c>
      <c r="H40" s="276" t="str">
        <f>IFERROR(REPLACE(VLOOKUP($B41,Tue,1,FALSE),1,65, "On"),"Off")</f>
        <v>On</v>
      </c>
      <c r="I40" s="276" t="str">
        <f>IFERROR(REPLACE(VLOOKUP($B41,Wed,1,FALSE),1,65, "On"),"Off")</f>
        <v>Off</v>
      </c>
      <c r="J40" s="276" t="str">
        <f>IFERROR(REPLACE(VLOOKUP($B41,Thr,1,FALSE),1,65, "On"),"Off")</f>
        <v>On</v>
      </c>
      <c r="K40" s="276" t="str">
        <f>IFERROR(REPLACE(VLOOKUP($B41,Fri,1,FALSE),1,65, "On"),"Off")</f>
        <v>On</v>
      </c>
      <c r="L40" s="276" t="str">
        <f>IFERROR(REPLACE(VLOOKUP($B41,Sat,1,FALSE),1,65, "On"),"Off")</f>
        <v>On</v>
      </c>
      <c r="M40" s="196"/>
    </row>
    <row r="41" spans="2:13 16384:16384" ht="16.5" customHeight="1" x14ac:dyDescent="0.25">
      <c r="B41" s="369" t="s">
        <v>44</v>
      </c>
      <c r="C41" s="369"/>
      <c r="D41" s="370">
        <f>SUM(F42:L42)</f>
        <v>0</v>
      </c>
      <c r="E41" s="193"/>
      <c r="F41" s="202"/>
      <c r="G41" s="202"/>
      <c r="H41" s="202"/>
      <c r="I41" s="202"/>
      <c r="J41" s="202"/>
      <c r="K41" s="202"/>
      <c r="L41" s="202"/>
      <c r="M41" s="196"/>
    </row>
    <row r="42" spans="2:13 16384:16384" ht="16.5" customHeight="1" x14ac:dyDescent="0.25">
      <c r="B42" s="369"/>
      <c r="C42" s="369"/>
      <c r="D42" s="370"/>
      <c r="E42" s="193"/>
      <c r="F42" s="177"/>
      <c r="G42" s="177"/>
      <c r="H42" s="177"/>
      <c r="I42" s="177"/>
      <c r="J42" s="177"/>
      <c r="K42" s="177"/>
      <c r="L42" s="177"/>
      <c r="M42" s="196"/>
    </row>
    <row r="43" spans="2:13 16384:16384" s="205" customFormat="1" ht="21.75" customHeight="1" x14ac:dyDescent="0.25">
      <c r="B43" s="371" t="str">
        <f>"Day's: "&amp;COUNTIF(F39:L39,"&gt;0")</f>
        <v>Day's: 5</v>
      </c>
      <c r="C43" s="209" t="s">
        <v>117</v>
      </c>
      <c r="D43" s="218">
        <f>IF(C44,SUM(F42:L42)/C39,XFD43/1000)</f>
        <v>0</v>
      </c>
      <c r="E43" s="193"/>
      <c r="F43" s="207">
        <f t="shared" ref="F43:L43" si="2">IFERROR(MATCH(F41,Time_Eva,0),0)</f>
        <v>0</v>
      </c>
      <c r="G43" s="207">
        <f t="shared" si="2"/>
        <v>0</v>
      </c>
      <c r="H43" s="207">
        <f t="shared" si="2"/>
        <v>0</v>
      </c>
      <c r="I43" s="207">
        <f t="shared" si="2"/>
        <v>0</v>
      </c>
      <c r="J43" s="207">
        <f t="shared" si="2"/>
        <v>0</v>
      </c>
      <c r="K43" s="207">
        <f t="shared" si="2"/>
        <v>0</v>
      </c>
      <c r="L43" s="207">
        <f t="shared" si="2"/>
        <v>0</v>
      </c>
      <c r="M43" s="196"/>
      <c r="XFD43">
        <f>SUM(E43:L43)</f>
        <v>0</v>
      </c>
    </row>
    <row r="44" spans="2:13 16384:16384" ht="23.25" customHeight="1" x14ac:dyDescent="0.25">
      <c r="B44" s="372"/>
      <c r="C44" s="208">
        <f>COUNTIF(F42:L42,"&gt;0")</f>
        <v>0</v>
      </c>
      <c r="D44" s="217" t="s">
        <v>124</v>
      </c>
      <c r="E44" s="193"/>
      <c r="F44" s="217"/>
      <c r="G44" s="217"/>
      <c r="H44" s="217"/>
      <c r="I44" s="217"/>
      <c r="J44" s="217"/>
      <c r="K44" s="217"/>
      <c r="L44" s="217"/>
    </row>
    <row r="45" spans="2:13 16384:16384" ht="16.5" customHeight="1" x14ac:dyDescent="0.3">
      <c r="B45" s="178"/>
      <c r="C45" s="178"/>
      <c r="D45" s="178"/>
      <c r="E45" s="193"/>
      <c r="F45" s="178"/>
      <c r="G45" s="178"/>
      <c r="H45" s="178"/>
      <c r="I45" s="178"/>
      <c r="J45" s="178"/>
      <c r="K45" s="178"/>
      <c r="L45" s="178"/>
      <c r="M45" s="196"/>
    </row>
    <row r="46" spans="2:13 16384:16384" ht="16.5" customHeight="1" x14ac:dyDescent="0.25">
      <c r="B46" s="366" t="s">
        <v>106</v>
      </c>
      <c r="C46" s="367">
        <f>SUM(F46:L46)</f>
        <v>38</v>
      </c>
      <c r="D46" s="368" t="s">
        <v>105</v>
      </c>
      <c r="E46" s="193"/>
      <c r="F46" s="190">
        <f>IFERROR(INDEX(Hr,MATCH($B48,Sun,0),0),0)</f>
        <v>6</v>
      </c>
      <c r="G46" s="190">
        <f>IFERROR(INDEX(Hr,MATCH($B48,Mon,0),0),0)</f>
        <v>0</v>
      </c>
      <c r="H46" s="190">
        <f>IFERROR(INDEX(Hr,MATCH($B48,Tue,0),0),0)</f>
        <v>8</v>
      </c>
      <c r="I46" s="190">
        <f>IFERROR(INDEX(Hr,MATCH($B48,Wed,0),0),0)</f>
        <v>8</v>
      </c>
      <c r="J46" s="190">
        <f>IFERROR(INDEX(Hr,MATCH($B48,Thr,0),0),0)</f>
        <v>8</v>
      </c>
      <c r="K46" s="190">
        <f>IFERROR(INDEX(Hr,MATCH($B48,Fri,0),0),0)</f>
        <v>8</v>
      </c>
      <c r="L46" s="190">
        <f>IFERROR(INDEX(Hr,MATCH($B48,Sat,0),0),0)</f>
        <v>0</v>
      </c>
      <c r="M46" s="196"/>
    </row>
    <row r="47" spans="2:13 16384:16384" ht="16.5" customHeight="1" x14ac:dyDescent="0.25">
      <c r="B47" s="366"/>
      <c r="C47" s="367"/>
      <c r="D47" s="368"/>
      <c r="E47" s="193"/>
      <c r="F47" s="276" t="str">
        <f>IFERROR(REPLACE(VLOOKUP($B48,Sun,1,FALSE),1,65, "On"),"Off")</f>
        <v>On</v>
      </c>
      <c r="G47" s="276" t="str">
        <f>IFERROR(REPLACE(VLOOKUP($B48,Mon,1,FALSE),1,65, "On"),"Off")</f>
        <v>Off</v>
      </c>
      <c r="H47" s="276" t="str">
        <f>IFERROR(REPLACE(VLOOKUP($B48,Tue,1,FALSE),1,65, "On"),"Off")</f>
        <v>On</v>
      </c>
      <c r="I47" s="276" t="str">
        <f>IFERROR(REPLACE(VLOOKUP($B48,Wed,1,FALSE),1,65, "On"),"Off")</f>
        <v>On</v>
      </c>
      <c r="J47" s="276" t="str">
        <f>IFERROR(REPLACE(VLOOKUP($B48,Thr,1,FALSE),1,65, "On"),"Off")</f>
        <v>On</v>
      </c>
      <c r="K47" s="276" t="str">
        <f>IFERROR(REPLACE(VLOOKUP($B48,Fri,1,FALSE),1,65, "On"),"Off")</f>
        <v>On</v>
      </c>
      <c r="L47" s="276" t="str">
        <f>IFERROR(REPLACE(VLOOKUP($B48,Sat,1,FALSE),1,65, "On"),"Off")</f>
        <v>Off</v>
      </c>
      <c r="M47" s="196"/>
    </row>
    <row r="48" spans="2:13 16384:16384" ht="16.5" customHeight="1" x14ac:dyDescent="0.25">
      <c r="B48" s="369" t="s">
        <v>41</v>
      </c>
      <c r="C48" s="369"/>
      <c r="D48" s="370">
        <f>SUM(F49:L49)</f>
        <v>0</v>
      </c>
      <c r="E48" s="193"/>
      <c r="F48" s="202"/>
      <c r="G48" s="202"/>
      <c r="H48" s="202"/>
      <c r="I48" s="202"/>
      <c r="J48" s="202"/>
      <c r="K48" s="202"/>
      <c r="L48" s="202"/>
      <c r="M48" s="196"/>
    </row>
    <row r="49" spans="2:13 16384:16384" ht="16.5" customHeight="1" x14ac:dyDescent="0.25">
      <c r="B49" s="369"/>
      <c r="C49" s="369"/>
      <c r="D49" s="370"/>
      <c r="E49" s="193"/>
      <c r="F49" s="177"/>
      <c r="G49" s="177"/>
      <c r="H49" s="177"/>
      <c r="I49" s="177"/>
      <c r="J49" s="177"/>
      <c r="K49" s="177"/>
      <c r="L49" s="177"/>
      <c r="M49" s="196"/>
    </row>
    <row r="50" spans="2:13 16384:16384" s="205" customFormat="1" ht="21.75" customHeight="1" x14ac:dyDescent="0.25">
      <c r="B50" s="371" t="str">
        <f>"Day's: "&amp;COUNTIF(F46:L46,"&gt;0")</f>
        <v>Day's: 5</v>
      </c>
      <c r="C50" s="209" t="s">
        <v>117</v>
      </c>
      <c r="D50" s="218">
        <f>IF(C51,SUM(F49:L49)/C46,XFD50/1000)</f>
        <v>0</v>
      </c>
      <c r="E50" s="193"/>
      <c r="F50" s="207">
        <f t="shared" ref="F50:L50" si="3">IFERROR(MATCH(F48,Time_Eva,0),0)</f>
        <v>0</v>
      </c>
      <c r="G50" s="207">
        <f t="shared" si="3"/>
        <v>0</v>
      </c>
      <c r="H50" s="207">
        <f t="shared" si="3"/>
        <v>0</v>
      </c>
      <c r="I50" s="207">
        <f t="shared" si="3"/>
        <v>0</v>
      </c>
      <c r="J50" s="207">
        <f t="shared" si="3"/>
        <v>0</v>
      </c>
      <c r="K50" s="207">
        <f t="shared" si="3"/>
        <v>0</v>
      </c>
      <c r="L50" s="207">
        <f t="shared" si="3"/>
        <v>0</v>
      </c>
      <c r="M50" s="196"/>
      <c r="XFD50">
        <f>SUM(E50:L50)</f>
        <v>0</v>
      </c>
    </row>
    <row r="51" spans="2:13 16384:16384" ht="23.25" customHeight="1" x14ac:dyDescent="0.25">
      <c r="B51" s="372"/>
      <c r="C51" s="208">
        <f>COUNTIF(F49:L49,"&gt;0")</f>
        <v>0</v>
      </c>
      <c r="D51" s="217" t="s">
        <v>124</v>
      </c>
      <c r="E51" s="193"/>
      <c r="F51" s="217"/>
      <c r="G51" s="217"/>
      <c r="H51" s="217"/>
      <c r="I51" s="217"/>
      <c r="J51" s="217"/>
      <c r="K51" s="217"/>
      <c r="L51" s="217"/>
    </row>
    <row r="52" spans="2:13 16384:16384" ht="16.5" customHeight="1" x14ac:dyDescent="0.3">
      <c r="B52" s="178"/>
      <c r="C52" s="178"/>
      <c r="D52" s="178"/>
      <c r="E52" s="193"/>
      <c r="F52" s="178"/>
      <c r="G52" s="178"/>
      <c r="H52" s="178"/>
      <c r="I52" s="178"/>
      <c r="J52" s="178"/>
      <c r="K52" s="178"/>
      <c r="L52" s="178"/>
      <c r="M52" s="196"/>
    </row>
    <row r="53" spans="2:13 16384:16384" ht="16.5" customHeight="1" x14ac:dyDescent="0.25">
      <c r="B53" s="366" t="s">
        <v>106</v>
      </c>
      <c r="C53" s="367">
        <f>SUM(F53:L53)</f>
        <v>40</v>
      </c>
      <c r="D53" s="368" t="s">
        <v>105</v>
      </c>
      <c r="E53" s="193"/>
      <c r="F53" s="190">
        <f>IFERROR(INDEX(Hr,MATCH($B55,Sun,0),0),0)</f>
        <v>0</v>
      </c>
      <c r="G53" s="190">
        <f>IFERROR(INDEX(Hr,MATCH($B55,Mon,0),0),0)</f>
        <v>8</v>
      </c>
      <c r="H53" s="190">
        <f>IFERROR(INDEX(Hr,MATCH($B55,Tue,0),0),0)</f>
        <v>8</v>
      </c>
      <c r="I53" s="190">
        <f>IFERROR(INDEX(Hr,MATCH($B55,Wed,0),0),0)</f>
        <v>8</v>
      </c>
      <c r="J53" s="190">
        <f>IFERROR(INDEX(Hr,MATCH($B55,Thr,0),0),0)</f>
        <v>8</v>
      </c>
      <c r="K53" s="190">
        <f>IFERROR(INDEX(Hr,MATCH($B55,Fri,0),0),0)</f>
        <v>0</v>
      </c>
      <c r="L53" s="190">
        <f>IFERROR(INDEX(Hr,MATCH($B55,Sat,0),0),0)</f>
        <v>8</v>
      </c>
      <c r="M53" s="196"/>
    </row>
    <row r="54" spans="2:13 16384:16384" ht="16.5" customHeight="1" x14ac:dyDescent="0.25">
      <c r="B54" s="366"/>
      <c r="C54" s="367"/>
      <c r="D54" s="368"/>
      <c r="E54" s="193"/>
      <c r="F54" s="276" t="str">
        <f>IFERROR(REPLACE(VLOOKUP($B55,Sun,1,FALSE),1,65, "On"),"Off")</f>
        <v>Off</v>
      </c>
      <c r="G54" s="276" t="str">
        <f>IFERROR(REPLACE(VLOOKUP($B55,Mon,1,FALSE),1,65, "On"),"Off")</f>
        <v>On</v>
      </c>
      <c r="H54" s="276" t="str">
        <f>IFERROR(REPLACE(VLOOKUP($B55,Tue,1,FALSE),1,65, "On"),"Off")</f>
        <v>On</v>
      </c>
      <c r="I54" s="276" t="str">
        <f>IFERROR(REPLACE(VLOOKUP($B55,Wed,1,FALSE),1,65, "On"),"Off")</f>
        <v>On</v>
      </c>
      <c r="J54" s="276" t="str">
        <f>IFERROR(REPLACE(VLOOKUP($B55,Thr,1,FALSE),1,65, "On"),"Off")</f>
        <v>On</v>
      </c>
      <c r="K54" s="276" t="str">
        <f>IFERROR(REPLACE(VLOOKUP($B55,Fri,1,FALSE),1,65, "On"),"Off")</f>
        <v>Off</v>
      </c>
      <c r="L54" s="276" t="str">
        <f>IFERROR(REPLACE(VLOOKUP($B55,Sat,1,FALSE),1,65, "On"),"Off")</f>
        <v>On</v>
      </c>
      <c r="M54" s="196"/>
    </row>
    <row r="55" spans="2:13 16384:16384" ht="16.5" customHeight="1" x14ac:dyDescent="0.25">
      <c r="B55" s="369" t="s">
        <v>39</v>
      </c>
      <c r="C55" s="369"/>
      <c r="D55" s="370">
        <f>SUM(F56:L56)</f>
        <v>0</v>
      </c>
      <c r="E55" s="193"/>
      <c r="F55" s="202"/>
      <c r="G55" s="202"/>
      <c r="H55" s="202"/>
      <c r="I55" s="202"/>
      <c r="J55" s="202"/>
      <c r="K55" s="202"/>
      <c r="L55" s="202"/>
      <c r="M55" s="196"/>
    </row>
    <row r="56" spans="2:13 16384:16384" ht="16.5" customHeight="1" x14ac:dyDescent="0.25">
      <c r="B56" s="369"/>
      <c r="C56" s="369"/>
      <c r="D56" s="370"/>
      <c r="E56" s="193"/>
      <c r="F56" s="177"/>
      <c r="G56" s="177"/>
      <c r="H56" s="177"/>
      <c r="I56" s="177"/>
      <c r="J56" s="177"/>
      <c r="K56" s="177"/>
      <c r="L56" s="177"/>
      <c r="M56" s="196"/>
    </row>
    <row r="57" spans="2:13 16384:16384" s="205" customFormat="1" ht="21.75" customHeight="1" x14ac:dyDescent="0.25">
      <c r="B57" s="371" t="str">
        <f>"Day's: "&amp;COUNTIF(F53:L53,"&gt;0")</f>
        <v>Day's: 5</v>
      </c>
      <c r="C57" s="209" t="s">
        <v>117</v>
      </c>
      <c r="D57" s="218">
        <f>IF(C58,SUM(F56:L56)/C53,XFD57/1000)</f>
        <v>0</v>
      </c>
      <c r="E57" s="193"/>
      <c r="F57" s="207">
        <f t="shared" ref="F57:L57" si="4">IFERROR(MATCH(F55,Time_Eva,0),0)</f>
        <v>0</v>
      </c>
      <c r="G57" s="207">
        <f t="shared" si="4"/>
        <v>0</v>
      </c>
      <c r="H57" s="207">
        <f t="shared" si="4"/>
        <v>0</v>
      </c>
      <c r="I57" s="207">
        <f t="shared" si="4"/>
        <v>0</v>
      </c>
      <c r="J57" s="207">
        <f t="shared" si="4"/>
        <v>0</v>
      </c>
      <c r="K57" s="207">
        <f t="shared" si="4"/>
        <v>0</v>
      </c>
      <c r="L57" s="207">
        <f t="shared" si="4"/>
        <v>0</v>
      </c>
      <c r="M57" s="196"/>
      <c r="XFD57">
        <f>SUM(E57:L57)</f>
        <v>0</v>
      </c>
    </row>
    <row r="58" spans="2:13 16384:16384" ht="23.25" customHeight="1" x14ac:dyDescent="0.25">
      <c r="B58" s="372"/>
      <c r="C58" s="208">
        <f>COUNTIF(F56:L56,"&gt;0")</f>
        <v>0</v>
      </c>
      <c r="D58" s="217" t="s">
        <v>124</v>
      </c>
      <c r="E58" s="193"/>
      <c r="F58" s="217"/>
      <c r="G58" s="217"/>
      <c r="H58" s="217"/>
      <c r="I58" s="217"/>
      <c r="J58" s="217"/>
      <c r="K58" s="217"/>
      <c r="L58" s="217"/>
    </row>
    <row r="59" spans="2:13 16384:16384" ht="16.5" customHeight="1" x14ac:dyDescent="0.3">
      <c r="B59" s="178"/>
      <c r="C59" s="178"/>
      <c r="D59" s="178"/>
      <c r="E59" s="193"/>
      <c r="F59" s="178"/>
      <c r="G59" s="178"/>
      <c r="H59" s="178"/>
      <c r="I59" s="178"/>
      <c r="J59" s="178"/>
      <c r="K59" s="178"/>
      <c r="L59" s="178"/>
      <c r="M59" s="196"/>
    </row>
    <row r="60" spans="2:13 16384:16384" ht="16.5" customHeight="1" x14ac:dyDescent="0.25">
      <c r="B60" s="366" t="s">
        <v>106</v>
      </c>
      <c r="C60" s="367">
        <f>SUM(F60:L60)</f>
        <v>34</v>
      </c>
      <c r="D60" s="368" t="s">
        <v>105</v>
      </c>
      <c r="E60" s="193"/>
      <c r="F60" s="190">
        <f>IFERROR(INDEX(Hr,MATCH($B62,Sun,0),0),0)</f>
        <v>12</v>
      </c>
      <c r="G60" s="190">
        <f>IFERROR(INDEX(Hr,MATCH($B62,Mon,0),0),0)</f>
        <v>6</v>
      </c>
      <c r="H60" s="190">
        <f>IFERROR(INDEX(Hr,MATCH($B62,Tue,0),0),0)</f>
        <v>8</v>
      </c>
      <c r="I60" s="190">
        <f>IFERROR(INDEX(Hr,MATCH($B62,Wed,0),0),0)</f>
        <v>8</v>
      </c>
      <c r="J60" s="190">
        <f>IFERROR(INDEX(Hr,MATCH($B62,Thr,0),0),0)</f>
        <v>0</v>
      </c>
      <c r="K60" s="190">
        <f>IFERROR(INDEX(Hr,MATCH($B62,Fri,0),0),0)</f>
        <v>0</v>
      </c>
      <c r="L60" s="190">
        <f>IFERROR(INDEX(Hr,MATCH($B62,Sat,0),0),0)</f>
        <v>0</v>
      </c>
      <c r="M60" s="196"/>
    </row>
    <row r="61" spans="2:13 16384:16384" ht="16.5" customHeight="1" x14ac:dyDescent="0.25">
      <c r="B61" s="366"/>
      <c r="C61" s="367"/>
      <c r="D61" s="368"/>
      <c r="E61" s="193"/>
      <c r="F61" s="276" t="str">
        <f>IFERROR(REPLACE(VLOOKUP($B62,Sun,1,FALSE),1,65, "On"),"Off")</f>
        <v>On</v>
      </c>
      <c r="G61" s="276" t="str">
        <f>IFERROR(REPLACE(VLOOKUP($B62,Mon,1,FALSE),1,65, "On"),"Off")</f>
        <v>On</v>
      </c>
      <c r="H61" s="276" t="str">
        <f>IFERROR(REPLACE(VLOOKUP($B62,Tue,1,FALSE),1,65, "On"),"Off")</f>
        <v>On</v>
      </c>
      <c r="I61" s="276" t="str">
        <f>IFERROR(REPLACE(VLOOKUP($B62,Wed,1,FALSE),1,65, "On"),"Off")</f>
        <v>On</v>
      </c>
      <c r="J61" s="276" t="str">
        <f>IFERROR(REPLACE(VLOOKUP($B62,Thr,1,FALSE),1,65, "On"),"Off")</f>
        <v>Off</v>
      </c>
      <c r="K61" s="276" t="str">
        <f>IFERROR(REPLACE(VLOOKUP($B62,Fri,1,FALSE),1,65, "On"),"Off")</f>
        <v>Off</v>
      </c>
      <c r="L61" s="276" t="str">
        <f>IFERROR(REPLACE(VLOOKUP($B62,Sat,1,FALSE),1,65, "On"),"Off")</f>
        <v>Off</v>
      </c>
      <c r="M61" s="196"/>
    </row>
    <row r="62" spans="2:13 16384:16384" ht="16.5" customHeight="1" x14ac:dyDescent="0.25">
      <c r="B62" s="369" t="s">
        <v>45</v>
      </c>
      <c r="C62" s="369"/>
      <c r="D62" s="370">
        <f>SUM(F63:L63)</f>
        <v>0</v>
      </c>
      <c r="E62" s="193"/>
      <c r="F62" s="202"/>
      <c r="G62" s="202"/>
      <c r="H62" s="202"/>
      <c r="I62" s="202"/>
      <c r="J62" s="202"/>
      <c r="K62" s="202"/>
      <c r="L62" s="202"/>
      <c r="M62" s="196"/>
    </row>
    <row r="63" spans="2:13 16384:16384" ht="16.5" customHeight="1" x14ac:dyDescent="0.25">
      <c r="B63" s="369"/>
      <c r="C63" s="369"/>
      <c r="D63" s="370"/>
      <c r="E63" s="193"/>
      <c r="F63" s="177"/>
      <c r="G63" s="177"/>
      <c r="H63" s="177"/>
      <c r="I63" s="177"/>
      <c r="J63" s="177"/>
      <c r="K63" s="177"/>
      <c r="L63" s="177"/>
      <c r="M63" s="196"/>
    </row>
    <row r="64" spans="2:13 16384:16384" s="205" customFormat="1" ht="21.75" customHeight="1" x14ac:dyDescent="0.25">
      <c r="B64" s="371" t="str">
        <f>"Day's: "&amp;COUNTIF(F60:L60,"&gt;0")</f>
        <v>Day's: 4</v>
      </c>
      <c r="C64" s="209" t="s">
        <v>117</v>
      </c>
      <c r="D64" s="218">
        <f>IF(C65,SUM(F63:L63)/C60,XFD64/1000)</f>
        <v>0</v>
      </c>
      <c r="E64" s="193"/>
      <c r="F64" s="207">
        <f t="shared" ref="F64:L64" si="5">IFERROR(MATCH(F62,Time_Eva,0),0)</f>
        <v>0</v>
      </c>
      <c r="G64" s="207">
        <f t="shared" si="5"/>
        <v>0</v>
      </c>
      <c r="H64" s="207">
        <f t="shared" si="5"/>
        <v>0</v>
      </c>
      <c r="I64" s="207">
        <f t="shared" si="5"/>
        <v>0</v>
      </c>
      <c r="J64" s="207">
        <f t="shared" si="5"/>
        <v>0</v>
      </c>
      <c r="K64" s="207">
        <f t="shared" si="5"/>
        <v>0</v>
      </c>
      <c r="L64" s="207">
        <f t="shared" si="5"/>
        <v>0</v>
      </c>
      <c r="M64" s="196"/>
      <c r="XFD64">
        <f>SUM(E64:L64)</f>
        <v>0</v>
      </c>
    </row>
    <row r="65" spans="2:13 16384:16384" ht="23.25" customHeight="1" x14ac:dyDescent="0.25">
      <c r="B65" s="372"/>
      <c r="C65" s="208">
        <f>COUNTIF(F63:L63,"&gt;0")</f>
        <v>0</v>
      </c>
      <c r="D65" s="217" t="s">
        <v>124</v>
      </c>
      <c r="E65" s="193"/>
      <c r="F65" s="217"/>
      <c r="G65" s="217"/>
      <c r="H65" s="217"/>
      <c r="I65" s="217"/>
      <c r="J65" s="217"/>
      <c r="K65" s="217"/>
      <c r="L65" s="217"/>
    </row>
    <row r="66" spans="2:13 16384:16384" ht="16.5" customHeight="1" x14ac:dyDescent="0.3">
      <c r="B66" s="178"/>
      <c r="C66" s="178"/>
      <c r="D66" s="178"/>
      <c r="E66" s="193"/>
      <c r="F66" s="178"/>
      <c r="G66" s="178"/>
      <c r="H66" s="178"/>
      <c r="I66" s="178"/>
      <c r="J66" s="178"/>
      <c r="K66" s="178"/>
      <c r="L66" s="178"/>
      <c r="M66" s="196"/>
    </row>
    <row r="67" spans="2:13 16384:16384" ht="16.5" customHeight="1" x14ac:dyDescent="0.25">
      <c r="B67" s="366" t="s">
        <v>106</v>
      </c>
      <c r="C67" s="367">
        <f>SUM(F67:L67)</f>
        <v>36</v>
      </c>
      <c r="D67" s="368" t="s">
        <v>105</v>
      </c>
      <c r="E67" s="193"/>
      <c r="F67" s="190">
        <f>IFERROR(INDEX(Hr,MATCH($B69,Sun,0),0),0)</f>
        <v>6</v>
      </c>
      <c r="G67" s="190">
        <f>IFERROR(INDEX(Hr,MATCH($B69,Mon,0),0),0)</f>
        <v>6</v>
      </c>
      <c r="H67" s="190">
        <f>IFERROR(INDEX(Hr,MATCH($B69,Tue,0),0),0)</f>
        <v>0</v>
      </c>
      <c r="I67" s="190">
        <f>IFERROR(INDEX(Hr,MATCH($B69,Wed,0),0),0)</f>
        <v>0</v>
      </c>
      <c r="J67" s="190">
        <f>IFERROR(INDEX(Hr,MATCH($B69,Thr,0),0),0)</f>
        <v>8</v>
      </c>
      <c r="K67" s="190">
        <f>IFERROR(INDEX(Hr,MATCH($B69,Fri,0),0),0)</f>
        <v>8</v>
      </c>
      <c r="L67" s="190">
        <f>IFERROR(INDEX(Hr,MATCH($B69,Sat,0),0),0)</f>
        <v>8</v>
      </c>
      <c r="M67" s="196"/>
    </row>
    <row r="68" spans="2:13 16384:16384" ht="16.5" customHeight="1" x14ac:dyDescent="0.25">
      <c r="B68" s="366"/>
      <c r="C68" s="367"/>
      <c r="D68" s="368"/>
      <c r="E68" s="193"/>
      <c r="F68" s="276" t="str">
        <f>IFERROR(REPLACE(VLOOKUP($B69,Sun,1,FALSE),1,65, "On"),"Off")</f>
        <v>On</v>
      </c>
      <c r="G68" s="276" t="str">
        <f>IFERROR(REPLACE(VLOOKUP($B69,Mon,1,FALSE),1,65, "On"),"Off")</f>
        <v>On</v>
      </c>
      <c r="H68" s="276" t="str">
        <f>IFERROR(REPLACE(VLOOKUP($B69,Tue,1,FALSE),1,65, "On"),"Off")</f>
        <v>Off</v>
      </c>
      <c r="I68" s="276" t="str">
        <f>IFERROR(REPLACE(VLOOKUP($B69,Wed,1,FALSE),1,65, "On"),"Off")</f>
        <v>Off</v>
      </c>
      <c r="J68" s="276" t="str">
        <f>IFERROR(REPLACE(VLOOKUP($B69,Thr,1,FALSE),1,65, "On"),"Off")</f>
        <v>On</v>
      </c>
      <c r="K68" s="276" t="str">
        <f>IFERROR(REPLACE(VLOOKUP($B69,Fri,1,FALSE),1,65, "On"),"Off")</f>
        <v>On</v>
      </c>
      <c r="L68" s="276" t="str">
        <f>IFERROR(REPLACE(VLOOKUP($B69,Sat,1,FALSE),1,65, "On"),"Off")</f>
        <v>On</v>
      </c>
      <c r="M68" s="196"/>
    </row>
    <row r="69" spans="2:13 16384:16384" ht="16.5" customHeight="1" x14ac:dyDescent="0.25">
      <c r="B69" s="369" t="s">
        <v>42</v>
      </c>
      <c r="C69" s="369"/>
      <c r="D69" s="370">
        <f>SUM(F70:L70)</f>
        <v>0</v>
      </c>
      <c r="E69" s="193"/>
      <c r="F69" s="202" t="s">
        <v>100</v>
      </c>
      <c r="G69" s="202"/>
      <c r="H69" s="202"/>
      <c r="I69" s="202"/>
      <c r="J69" s="202"/>
      <c r="K69" s="202"/>
      <c r="L69" s="202"/>
      <c r="M69" s="196"/>
    </row>
    <row r="70" spans="2:13 16384:16384" ht="16.5" customHeight="1" x14ac:dyDescent="0.25">
      <c r="B70" s="369"/>
      <c r="C70" s="369"/>
      <c r="D70" s="370"/>
      <c r="E70" s="193"/>
      <c r="F70" s="177"/>
      <c r="G70" s="177"/>
      <c r="H70" s="177"/>
      <c r="I70" s="177"/>
      <c r="J70" s="177"/>
      <c r="K70" s="177"/>
      <c r="L70" s="177"/>
      <c r="M70" s="196"/>
    </row>
    <row r="71" spans="2:13 16384:16384" s="205" customFormat="1" ht="21.75" customHeight="1" x14ac:dyDescent="0.25">
      <c r="B71" s="371" t="str">
        <f>"Day's: "&amp;COUNTIF(F67:L67,"&gt;0")</f>
        <v>Day's: 5</v>
      </c>
      <c r="C71" s="209" t="s">
        <v>117</v>
      </c>
      <c r="D71" s="218">
        <f>IF(C72,SUM(F70:L70)/C67,XFD71/1000)</f>
        <v>3.0000000000000001E-3</v>
      </c>
      <c r="E71" s="193"/>
      <c r="F71" s="207">
        <f t="shared" ref="F71:L71" si="6">IFERROR(MATCH(F69,Time_Eva,0),0)</f>
        <v>3</v>
      </c>
      <c r="G71" s="207">
        <f t="shared" si="6"/>
        <v>0</v>
      </c>
      <c r="H71" s="207">
        <f t="shared" si="6"/>
        <v>0</v>
      </c>
      <c r="I71" s="207">
        <f t="shared" si="6"/>
        <v>0</v>
      </c>
      <c r="J71" s="207">
        <f t="shared" si="6"/>
        <v>0</v>
      </c>
      <c r="K71" s="207">
        <f t="shared" si="6"/>
        <v>0</v>
      </c>
      <c r="L71" s="207">
        <f t="shared" si="6"/>
        <v>0</v>
      </c>
      <c r="M71" s="196"/>
      <c r="XFD71">
        <f>SUM(E71:L71)</f>
        <v>3</v>
      </c>
    </row>
    <row r="72" spans="2:13 16384:16384" ht="23.25" customHeight="1" x14ac:dyDescent="0.25">
      <c r="B72" s="372"/>
      <c r="C72" s="208">
        <f>COUNTIF(F70:L70,"&gt;0")</f>
        <v>0</v>
      </c>
      <c r="D72" s="217" t="s">
        <v>124</v>
      </c>
      <c r="E72" s="193"/>
      <c r="F72" s="217"/>
      <c r="G72" s="217"/>
      <c r="H72" s="217"/>
      <c r="I72" s="217"/>
      <c r="J72" s="217"/>
      <c r="K72" s="217"/>
      <c r="L72" s="217"/>
    </row>
    <row r="73" spans="2:13 16384:16384" ht="16.5" customHeight="1" x14ac:dyDescent="0.3">
      <c r="B73" s="178"/>
      <c r="C73" s="178"/>
      <c r="D73" s="178"/>
      <c r="E73" s="193"/>
      <c r="F73" s="178"/>
      <c r="G73" s="178"/>
      <c r="H73" s="178"/>
      <c r="I73" s="178"/>
      <c r="J73" s="178"/>
      <c r="K73" s="178"/>
      <c r="L73" s="178"/>
      <c r="M73" s="196"/>
    </row>
    <row r="74" spans="2:13 16384:16384" ht="16.5" customHeight="1" x14ac:dyDescent="0.25">
      <c r="B74" s="366" t="s">
        <v>106</v>
      </c>
      <c r="C74" s="367">
        <f>SUM(F74:L74)</f>
        <v>44</v>
      </c>
      <c r="D74" s="368" t="s">
        <v>105</v>
      </c>
      <c r="E74" s="193"/>
      <c r="F74" s="190">
        <f>IFERROR(INDEX(Hr,MATCH($B76,Sun,0),0),0)</f>
        <v>12</v>
      </c>
      <c r="G74" s="190">
        <f>IFERROR(INDEX(Hr,MATCH($B76,Mon,0),0),0)</f>
        <v>8</v>
      </c>
      <c r="H74" s="190">
        <f>IFERROR(INDEX(Hr,MATCH($B76,Tue,0),0),0)</f>
        <v>0</v>
      </c>
      <c r="I74" s="190">
        <f>IFERROR(INDEX(Hr,MATCH($B76,Wed,0),0),0)</f>
        <v>0</v>
      </c>
      <c r="J74" s="190">
        <f>IFERROR(INDEX(Hr,MATCH($B76,Thr,0),0),0)</f>
        <v>8</v>
      </c>
      <c r="K74" s="190">
        <f>IFERROR(INDEX(Hr,MATCH($B76,Fri,0),0),0)</f>
        <v>8</v>
      </c>
      <c r="L74" s="190">
        <f>IFERROR(INDEX(Hr,MATCH($B76,Sat,0),0),0)</f>
        <v>8</v>
      </c>
      <c r="M74" s="196"/>
    </row>
    <row r="75" spans="2:13 16384:16384" ht="16.5" customHeight="1" x14ac:dyDescent="0.25">
      <c r="B75" s="366"/>
      <c r="C75" s="367"/>
      <c r="D75" s="368"/>
      <c r="E75" s="193"/>
      <c r="F75" s="276" t="str">
        <f>IFERROR(REPLACE(VLOOKUP($B76,Sun,1,FALSE),1,65, "On"),"Off")</f>
        <v>On</v>
      </c>
      <c r="G75" s="276" t="str">
        <f>IFERROR(REPLACE(VLOOKUP($B76,Mon,1,FALSE),1,65, "On"),"Off")</f>
        <v>On</v>
      </c>
      <c r="H75" s="276" t="str">
        <f>IFERROR(REPLACE(VLOOKUP($B76,Tue,1,FALSE),1,65, "On"),"Off")</f>
        <v>Off</v>
      </c>
      <c r="I75" s="276" t="str">
        <f>IFERROR(REPLACE(VLOOKUP($B76,Wed,1,FALSE),1,65, "On"),"Off")</f>
        <v>Off</v>
      </c>
      <c r="J75" s="276" t="str">
        <f>IFERROR(REPLACE(VLOOKUP($B76,Thr,1,FALSE),1,65, "On"),"Off")</f>
        <v>On</v>
      </c>
      <c r="K75" s="276" t="str">
        <f>IFERROR(REPLACE(VLOOKUP($B76,Fri,1,FALSE),1,65, "On"),"Off")</f>
        <v>On</v>
      </c>
      <c r="L75" s="276" t="str">
        <f>IFERROR(REPLACE(VLOOKUP($B76,Sat,1,FALSE),1,65, "On"),"Off")</f>
        <v>On</v>
      </c>
      <c r="M75" s="196"/>
    </row>
    <row r="76" spans="2:13 16384:16384" ht="16.5" customHeight="1" x14ac:dyDescent="0.25">
      <c r="B76" s="369" t="s">
        <v>110</v>
      </c>
      <c r="C76" s="369"/>
      <c r="D76" s="370">
        <f>SUM(F77:L77)</f>
        <v>0</v>
      </c>
      <c r="E76" s="193"/>
      <c r="F76" s="202"/>
      <c r="G76" s="202"/>
      <c r="H76" s="202"/>
      <c r="I76" s="202"/>
      <c r="J76" s="202"/>
      <c r="K76" s="202"/>
      <c r="L76" s="202"/>
      <c r="M76" s="196"/>
    </row>
    <row r="77" spans="2:13 16384:16384" ht="16.5" customHeight="1" x14ac:dyDescent="0.25">
      <c r="B77" s="369"/>
      <c r="C77" s="369"/>
      <c r="D77" s="370"/>
      <c r="E77" s="193"/>
      <c r="F77" s="177"/>
      <c r="G77" s="177"/>
      <c r="H77" s="177"/>
      <c r="I77" s="177"/>
      <c r="J77" s="177"/>
      <c r="K77" s="177"/>
      <c r="L77" s="177"/>
      <c r="M77" s="196"/>
    </row>
    <row r="78" spans="2:13 16384:16384" s="205" customFormat="1" ht="21.75" customHeight="1" x14ac:dyDescent="0.25">
      <c r="B78" s="371" t="str">
        <f>"Day's: "&amp;COUNTIF(F74:L74,"&gt;0")</f>
        <v>Day's: 5</v>
      </c>
      <c r="C78" s="209" t="s">
        <v>117</v>
      </c>
      <c r="D78" s="218">
        <f>IF(C79,SUM(F77:L77)/C74,XFD78/1000)</f>
        <v>0</v>
      </c>
      <c r="E78" s="193"/>
      <c r="F78" s="207">
        <f t="shared" ref="F78:L78" si="7">IFERROR(MATCH(F76,Time_Eva,0),0)</f>
        <v>0</v>
      </c>
      <c r="G78" s="207">
        <f t="shared" si="7"/>
        <v>0</v>
      </c>
      <c r="H78" s="207">
        <f t="shared" si="7"/>
        <v>0</v>
      </c>
      <c r="I78" s="207">
        <f t="shared" si="7"/>
        <v>0</v>
      </c>
      <c r="J78" s="207">
        <f t="shared" si="7"/>
        <v>0</v>
      </c>
      <c r="K78" s="207">
        <f t="shared" si="7"/>
        <v>0</v>
      </c>
      <c r="L78" s="207">
        <f t="shared" si="7"/>
        <v>0</v>
      </c>
      <c r="M78" s="196"/>
      <c r="XFD78">
        <f>SUM(E78:L78)</f>
        <v>0</v>
      </c>
    </row>
    <row r="79" spans="2:13 16384:16384" ht="23.25" customHeight="1" x14ac:dyDescent="0.25">
      <c r="B79" s="372"/>
      <c r="C79" s="208">
        <f>COUNTIF(F77:L77,"&gt;0")</f>
        <v>0</v>
      </c>
      <c r="D79" s="217" t="s">
        <v>124</v>
      </c>
      <c r="E79" s="193"/>
      <c r="F79" s="217"/>
      <c r="G79" s="217"/>
      <c r="H79" s="217"/>
      <c r="I79" s="217"/>
      <c r="J79" s="217"/>
      <c r="K79" s="217"/>
      <c r="L79" s="217"/>
    </row>
    <row r="80" spans="2:13 16384:16384" ht="16.5" customHeight="1" x14ac:dyDescent="0.3">
      <c r="B80" s="178"/>
      <c r="C80" s="178"/>
      <c r="D80" s="178"/>
      <c r="E80" s="193"/>
      <c r="F80" s="178"/>
      <c r="G80" s="178"/>
      <c r="H80" s="178"/>
      <c r="I80" s="178"/>
      <c r="J80" s="178"/>
      <c r="K80" s="178"/>
      <c r="L80" s="178"/>
      <c r="M80" s="196"/>
    </row>
    <row r="81" spans="2:13 16384:16384" ht="16.5" customHeight="1" x14ac:dyDescent="0.25">
      <c r="B81" s="366" t="s">
        <v>106</v>
      </c>
      <c r="C81" s="367">
        <f>SUM(F81:L81)</f>
        <v>24</v>
      </c>
      <c r="D81" s="368" t="s">
        <v>105</v>
      </c>
      <c r="E81" s="193"/>
      <c r="F81" s="190">
        <f>IFERROR(INDEX(Hr,MATCH($B83,Sun,0),0),0)</f>
        <v>0</v>
      </c>
      <c r="G81" s="190">
        <f>IFERROR(INDEX(Hr,MATCH($B83,Mon,0),0),0)</f>
        <v>8</v>
      </c>
      <c r="H81" s="190">
        <f>IFERROR(INDEX(Hr,MATCH($B83,Tue,0),0),0)</f>
        <v>0</v>
      </c>
      <c r="I81" s="190">
        <f>IFERROR(INDEX(Hr,MATCH($B83,Wed,0),0),0)</f>
        <v>8</v>
      </c>
      <c r="J81" s="190">
        <f>IFERROR(INDEX(Hr,MATCH($B83,Thr,0),0),0)</f>
        <v>8</v>
      </c>
      <c r="K81" s="190">
        <f>IFERROR(INDEX(Hr,MATCH($B83,Fri,0),0),0)</f>
        <v>0</v>
      </c>
      <c r="L81" s="190">
        <f>IFERROR(INDEX(Hr,MATCH($B83,Sat,0),0),0)</f>
        <v>0</v>
      </c>
      <c r="M81" s="196"/>
    </row>
    <row r="82" spans="2:13 16384:16384" ht="16.5" customHeight="1" x14ac:dyDescent="0.25">
      <c r="B82" s="366"/>
      <c r="C82" s="367"/>
      <c r="D82" s="368"/>
      <c r="E82" s="193"/>
      <c r="F82" s="276" t="str">
        <f>IFERROR(REPLACE(VLOOKUP($B83,Sun,1,FALSE),1,65, "On"),"Off")</f>
        <v>Off</v>
      </c>
      <c r="G82" s="276" t="str">
        <f>IFERROR(REPLACE(VLOOKUP($B83,Mon,1,FALSE),1,65, "On"),"Off")</f>
        <v>On</v>
      </c>
      <c r="H82" s="276" t="str">
        <f>IFERROR(REPLACE(VLOOKUP($B83,Tue,1,FALSE),1,65, "On"),"Off")</f>
        <v>Off</v>
      </c>
      <c r="I82" s="276" t="str">
        <f>IFERROR(REPLACE(VLOOKUP($B83,Wed,1,FALSE),1,65, "On"),"Off")</f>
        <v>On</v>
      </c>
      <c r="J82" s="276" t="str">
        <f>IFERROR(REPLACE(VLOOKUP($B83,Thr,1,FALSE),1,65, "On"),"Off")</f>
        <v>On</v>
      </c>
      <c r="K82" s="276" t="str">
        <f>IFERROR(REPLACE(VLOOKUP($B83,Fri,1,FALSE),1,65, "On"),"Off")</f>
        <v>Off</v>
      </c>
      <c r="L82" s="276" t="str">
        <f>IFERROR(REPLACE(VLOOKUP($B83,Sat,1,FALSE),1,65, "On"),"Off")</f>
        <v>Off</v>
      </c>
      <c r="M82" s="196"/>
    </row>
    <row r="83" spans="2:13 16384:16384" ht="16.5" customHeight="1" x14ac:dyDescent="0.25">
      <c r="B83" s="369" t="s">
        <v>43</v>
      </c>
      <c r="C83" s="369"/>
      <c r="D83" s="370">
        <f>SUM(F84:L84)</f>
        <v>0</v>
      </c>
      <c r="E83" s="193"/>
      <c r="F83" s="202"/>
      <c r="G83" s="202"/>
      <c r="H83" s="202"/>
      <c r="I83" s="202"/>
      <c r="J83" s="202"/>
      <c r="K83" s="202"/>
      <c r="L83" s="202"/>
      <c r="M83" s="196"/>
    </row>
    <row r="84" spans="2:13 16384:16384" ht="16.5" customHeight="1" x14ac:dyDescent="0.25">
      <c r="B84" s="369"/>
      <c r="C84" s="369"/>
      <c r="D84" s="370"/>
      <c r="E84" s="193"/>
      <c r="F84" s="177"/>
      <c r="G84" s="177"/>
      <c r="H84" s="177"/>
      <c r="I84" s="177"/>
      <c r="J84" s="177"/>
      <c r="K84" s="177"/>
      <c r="L84" s="177"/>
      <c r="M84" s="196"/>
    </row>
    <row r="85" spans="2:13 16384:16384" s="205" customFormat="1" ht="21.75" customHeight="1" x14ac:dyDescent="0.25">
      <c r="B85" s="371" t="str">
        <f>"Day's: "&amp;COUNTIF(F81:L81,"&gt;0")</f>
        <v>Day's: 3</v>
      </c>
      <c r="C85" s="209" t="s">
        <v>117</v>
      </c>
      <c r="D85" s="218">
        <f>IF(C86,SUM(F84:L84)/C81,XFD85/1000)</f>
        <v>0</v>
      </c>
      <c r="E85" s="193"/>
      <c r="F85" s="207">
        <f t="shared" ref="F85:L85" si="8">IFERROR(MATCH(F83,Time_Eva,0),0)</f>
        <v>0</v>
      </c>
      <c r="G85" s="207">
        <f t="shared" si="8"/>
        <v>0</v>
      </c>
      <c r="H85" s="207">
        <f t="shared" si="8"/>
        <v>0</v>
      </c>
      <c r="I85" s="207">
        <f t="shared" si="8"/>
        <v>0</v>
      </c>
      <c r="J85" s="207">
        <f t="shared" si="8"/>
        <v>0</v>
      </c>
      <c r="K85" s="207">
        <f t="shared" si="8"/>
        <v>0</v>
      </c>
      <c r="L85" s="207">
        <f t="shared" si="8"/>
        <v>0</v>
      </c>
      <c r="M85" s="196"/>
      <c r="XFD85">
        <f>SUM(E85:L85)</f>
        <v>0</v>
      </c>
    </row>
    <row r="86" spans="2:13 16384:16384" ht="23.25" customHeight="1" x14ac:dyDescent="0.25">
      <c r="B86" s="372"/>
      <c r="C86" s="208">
        <f>COUNTIF(F84:L84,"&gt;0")</f>
        <v>0</v>
      </c>
      <c r="D86" s="217" t="s">
        <v>124</v>
      </c>
      <c r="E86" s="193"/>
      <c r="F86" s="217"/>
      <c r="G86" s="217"/>
      <c r="H86" s="217"/>
      <c r="I86" s="217"/>
      <c r="J86" s="217"/>
      <c r="K86" s="217"/>
      <c r="L86" s="217"/>
    </row>
    <row r="87" spans="2:13 16384:16384" ht="16.5" customHeight="1" x14ac:dyDescent="0.3">
      <c r="B87" s="178"/>
      <c r="C87" s="178"/>
      <c r="D87" s="178"/>
      <c r="E87" s="193"/>
      <c r="F87" s="178"/>
      <c r="G87" s="178"/>
      <c r="H87" s="178"/>
      <c r="I87" s="178"/>
      <c r="J87" s="178"/>
      <c r="K87" s="178"/>
      <c r="L87" s="178"/>
      <c r="M87" s="196"/>
    </row>
    <row r="88" spans="2:13 16384:16384" ht="16.5" customHeight="1" x14ac:dyDescent="0.25">
      <c r="B88" s="366" t="s">
        <v>106</v>
      </c>
      <c r="C88" s="367">
        <f>SUM(F88:L88)</f>
        <v>36</v>
      </c>
      <c r="D88" s="368" t="s">
        <v>105</v>
      </c>
      <c r="E88" s="193"/>
      <c r="F88" s="190">
        <f>IFERROR(INDEX(Hr,MATCH($B90,Sun,0),0),0)</f>
        <v>12</v>
      </c>
      <c r="G88" s="190">
        <f>IFERROR(INDEX(Hr,MATCH($B90,Mon,0),0),0)</f>
        <v>8</v>
      </c>
      <c r="H88" s="190">
        <f>IFERROR(INDEX(Hr,MATCH($B90,Tue,0),0),0)</f>
        <v>8</v>
      </c>
      <c r="I88" s="190">
        <f>IFERROR(INDEX(Hr,MATCH($B90,Wed,0),0),0)</f>
        <v>0</v>
      </c>
      <c r="J88" s="190">
        <f>IFERROR(INDEX(Hr,MATCH($B90,Thr,0),0),0)</f>
        <v>0</v>
      </c>
      <c r="K88" s="190">
        <f>IFERROR(INDEX(Hr,MATCH($B90,Fri,0),0),0)</f>
        <v>8</v>
      </c>
      <c r="L88" s="190">
        <f>IFERROR(INDEX(Hr,MATCH($B90,Sat,0),0),0)</f>
        <v>0</v>
      </c>
      <c r="M88" s="196"/>
    </row>
    <row r="89" spans="2:13 16384:16384" ht="16.5" customHeight="1" x14ac:dyDescent="0.25">
      <c r="B89" s="366"/>
      <c r="C89" s="367"/>
      <c r="D89" s="368"/>
      <c r="E89" s="193"/>
      <c r="F89" s="276" t="str">
        <f>IFERROR(REPLACE(VLOOKUP($B90,Sun,1,FALSE),1,65, "On"),"Off")</f>
        <v>On</v>
      </c>
      <c r="G89" s="276" t="str">
        <f>IFERROR(REPLACE(VLOOKUP($B90,Mon,1,FALSE),1,65, "On"),"Off")</f>
        <v>On</v>
      </c>
      <c r="H89" s="276" t="str">
        <f>IFERROR(REPLACE(VLOOKUP($B90,Tue,1,FALSE),1,65, "On"),"Off")</f>
        <v>On</v>
      </c>
      <c r="I89" s="276" t="str">
        <f>IFERROR(REPLACE(VLOOKUP($B90,Wed,1,FALSE),1,65, "On"),"Off")</f>
        <v>Off</v>
      </c>
      <c r="J89" s="276" t="str">
        <f>IFERROR(REPLACE(VLOOKUP($B90,Thr,1,FALSE),1,65, "On"),"Off")</f>
        <v>Off</v>
      </c>
      <c r="K89" s="276" t="str">
        <f>IFERROR(REPLACE(VLOOKUP($B90,Fri,1,FALSE),1,65, "On"),"Off")</f>
        <v>On</v>
      </c>
      <c r="L89" s="276" t="str">
        <f>IFERROR(REPLACE(VLOOKUP($B90,Sat,1,FALSE),1,65, "On"),"Off")</f>
        <v>Off</v>
      </c>
      <c r="M89" s="196"/>
    </row>
    <row r="90" spans="2:13 16384:16384" ht="16.5" customHeight="1" x14ac:dyDescent="0.25">
      <c r="B90" s="369" t="s">
        <v>85</v>
      </c>
      <c r="C90" s="369"/>
      <c r="D90" s="370">
        <f>SUM(F91:L91)</f>
        <v>0</v>
      </c>
      <c r="E90" s="193"/>
      <c r="F90" s="202"/>
      <c r="G90" s="202"/>
      <c r="H90" s="202"/>
      <c r="I90" s="202"/>
      <c r="J90" s="202"/>
      <c r="K90" s="202"/>
      <c r="L90" s="202"/>
      <c r="M90" s="196"/>
    </row>
    <row r="91" spans="2:13 16384:16384" ht="16.5" customHeight="1" x14ac:dyDescent="0.25">
      <c r="B91" s="369"/>
      <c r="C91" s="369"/>
      <c r="D91" s="370"/>
      <c r="E91" s="193"/>
      <c r="F91" s="177"/>
      <c r="G91" s="177"/>
      <c r="H91" s="177"/>
      <c r="I91" s="177"/>
      <c r="J91" s="177"/>
      <c r="K91" s="177"/>
      <c r="L91" s="177"/>
      <c r="M91" s="196"/>
    </row>
    <row r="92" spans="2:13 16384:16384" s="205" customFormat="1" ht="21.75" customHeight="1" x14ac:dyDescent="0.25">
      <c r="B92" s="371" t="str">
        <f>"Day's: "&amp;COUNTIF(F88:L88,"&gt;0")</f>
        <v>Day's: 4</v>
      </c>
      <c r="C92" s="209" t="s">
        <v>117</v>
      </c>
      <c r="D92" s="218">
        <f>IF(C93,SUM(F91:L91)/C88,XFD92/1000)</f>
        <v>0</v>
      </c>
      <c r="E92" s="193"/>
      <c r="F92" s="207">
        <f t="shared" ref="F92:L92" si="9">IFERROR(MATCH(F90,Time_Eva,0),0)</f>
        <v>0</v>
      </c>
      <c r="G92" s="207">
        <f t="shared" si="9"/>
        <v>0</v>
      </c>
      <c r="H92" s="207">
        <f t="shared" si="9"/>
        <v>0</v>
      </c>
      <c r="I92" s="207">
        <f t="shared" si="9"/>
        <v>0</v>
      </c>
      <c r="J92" s="207">
        <f t="shared" si="9"/>
        <v>0</v>
      </c>
      <c r="K92" s="207">
        <f t="shared" si="9"/>
        <v>0</v>
      </c>
      <c r="L92" s="207">
        <f t="shared" si="9"/>
        <v>0</v>
      </c>
      <c r="M92" s="196"/>
      <c r="XFD92">
        <f>SUM(E92:L92)</f>
        <v>0</v>
      </c>
    </row>
    <row r="93" spans="2:13 16384:16384" ht="23.25" customHeight="1" x14ac:dyDescent="0.25">
      <c r="B93" s="372"/>
      <c r="C93" s="208">
        <f>COUNTIF(F91:L91,"&gt;0")</f>
        <v>0</v>
      </c>
      <c r="D93" s="217" t="s">
        <v>124</v>
      </c>
      <c r="E93" s="193"/>
      <c r="F93" s="217"/>
      <c r="G93" s="217"/>
      <c r="H93" s="217"/>
      <c r="I93" s="217"/>
      <c r="J93" s="217"/>
      <c r="K93" s="217"/>
      <c r="L93" s="217"/>
    </row>
    <row r="94" spans="2:13 16384:16384" ht="16.5" customHeight="1" x14ac:dyDescent="0.3">
      <c r="B94" s="178"/>
      <c r="C94" s="178"/>
      <c r="D94" s="178"/>
      <c r="E94" s="193"/>
      <c r="F94" s="178"/>
      <c r="G94" s="178"/>
      <c r="H94" s="178"/>
      <c r="I94" s="178"/>
      <c r="J94" s="178"/>
      <c r="K94" s="178"/>
      <c r="L94" s="178"/>
      <c r="M94" s="196"/>
    </row>
    <row r="95" spans="2:13 16384:16384" ht="16.5" customHeight="1" x14ac:dyDescent="0.25">
      <c r="B95" s="366" t="s">
        <v>106</v>
      </c>
      <c r="C95" s="367">
        <f>SUM(F95:L95)</f>
        <v>40</v>
      </c>
      <c r="D95" s="368" t="s">
        <v>105</v>
      </c>
      <c r="E95" s="193"/>
      <c r="F95" s="190">
        <f>IFERROR(INDEX(Hr,MATCH($B97,Sun,0),0),0)</f>
        <v>0</v>
      </c>
      <c r="G95" s="190">
        <f>IFERROR(INDEX(Hr,MATCH($B97,Mon,0),0),0)</f>
        <v>8</v>
      </c>
      <c r="H95" s="190">
        <f>IFERROR(INDEX(Hr,MATCH($B97,Tue,0),0),0)</f>
        <v>8</v>
      </c>
      <c r="I95" s="190">
        <f>IFERROR(INDEX(Hr,MATCH($B97,Wed,0),0),0)</f>
        <v>8</v>
      </c>
      <c r="J95" s="190">
        <f>IFERROR(INDEX(Hr,MATCH($B97,Thr,0),0),0)</f>
        <v>8</v>
      </c>
      <c r="K95" s="190">
        <f>IFERROR(INDEX(Hr,MATCH($B97,Fri,0),0),0)</f>
        <v>8</v>
      </c>
      <c r="L95" s="190">
        <f>IFERROR(INDEX(Hr,MATCH($B97,Sat,0),0),0)</f>
        <v>0</v>
      </c>
      <c r="M95" s="196"/>
    </row>
    <row r="96" spans="2:13 16384:16384" ht="16.5" customHeight="1" x14ac:dyDescent="0.25">
      <c r="B96" s="366"/>
      <c r="C96" s="367"/>
      <c r="D96" s="368"/>
      <c r="E96" s="193"/>
      <c r="F96" s="276" t="str">
        <f>IFERROR(REPLACE(VLOOKUP($B97,Sun,1,FALSE),1,65, "On"),"Off")</f>
        <v>Off</v>
      </c>
      <c r="G96" s="276" t="str">
        <f>IFERROR(REPLACE(VLOOKUP($B97,Mon,1,FALSE),1,65, "On"),"Off")</f>
        <v>On</v>
      </c>
      <c r="H96" s="276" t="str">
        <f>IFERROR(REPLACE(VLOOKUP($B97,Tue,1,FALSE),1,65, "On"),"Off")</f>
        <v>On</v>
      </c>
      <c r="I96" s="276" t="str">
        <f>IFERROR(REPLACE(VLOOKUP($B97,Wed,1,FALSE),1,65, "On"),"Off")</f>
        <v>On</v>
      </c>
      <c r="J96" s="276" t="str">
        <f>IFERROR(REPLACE(VLOOKUP($B97,Thr,1,FALSE),1,65, "On"),"Off")</f>
        <v>On</v>
      </c>
      <c r="K96" s="276" t="str">
        <f>IFERROR(REPLACE(VLOOKUP($B97,Fri,1,FALSE),1,65, "On"),"Off")</f>
        <v>On</v>
      </c>
      <c r="L96" s="276" t="str">
        <f>IFERROR(REPLACE(VLOOKUP($B97,Sat,1,FALSE),1,65, "On"),"Off")</f>
        <v>Off</v>
      </c>
      <c r="M96" s="196"/>
    </row>
    <row r="97" spans="2:13 16384:16384" ht="16.5" customHeight="1" x14ac:dyDescent="0.25">
      <c r="B97" s="369" t="s">
        <v>71</v>
      </c>
      <c r="C97" s="369"/>
      <c r="D97" s="370">
        <f>SUM(F98:L98)</f>
        <v>0</v>
      </c>
      <c r="E97" s="193"/>
      <c r="F97" s="202"/>
      <c r="G97" s="202"/>
      <c r="H97" s="202"/>
      <c r="I97" s="202"/>
      <c r="J97" s="202"/>
      <c r="K97" s="202"/>
      <c r="L97" s="202"/>
      <c r="M97" s="196"/>
    </row>
    <row r="98" spans="2:13 16384:16384" ht="16.5" customHeight="1" x14ac:dyDescent="0.25">
      <c r="B98" s="369"/>
      <c r="C98" s="369"/>
      <c r="D98" s="370"/>
      <c r="E98" s="193"/>
      <c r="F98" s="177"/>
      <c r="G98" s="177"/>
      <c r="H98" s="177"/>
      <c r="I98" s="177"/>
      <c r="J98" s="177"/>
      <c r="K98" s="177"/>
      <c r="L98" s="177"/>
      <c r="M98" s="196"/>
    </row>
    <row r="99" spans="2:13 16384:16384" s="205" customFormat="1" ht="21.75" customHeight="1" x14ac:dyDescent="0.25">
      <c r="B99" s="371" t="str">
        <f>"Day's: "&amp;COUNTIF(F95:L95,"&gt;0")</f>
        <v>Day's: 5</v>
      </c>
      <c r="C99" s="209" t="s">
        <v>117</v>
      </c>
      <c r="D99" s="218">
        <f>IF(C100,SUM(F98:L98)/C95,XFD99/1000)</f>
        <v>0</v>
      </c>
      <c r="E99" s="193"/>
      <c r="F99" s="207">
        <f t="shared" ref="F99:L99" si="10">IFERROR(MATCH(F97,Time_Eva,0),0)</f>
        <v>0</v>
      </c>
      <c r="G99" s="207">
        <f t="shared" si="10"/>
        <v>0</v>
      </c>
      <c r="H99" s="207">
        <f t="shared" si="10"/>
        <v>0</v>
      </c>
      <c r="I99" s="207">
        <f t="shared" si="10"/>
        <v>0</v>
      </c>
      <c r="J99" s="207">
        <f t="shared" si="10"/>
        <v>0</v>
      </c>
      <c r="K99" s="207">
        <f t="shared" si="10"/>
        <v>0</v>
      </c>
      <c r="L99" s="207">
        <f t="shared" si="10"/>
        <v>0</v>
      </c>
      <c r="M99" s="196"/>
      <c r="XFD99">
        <f>SUM(E99:L99)</f>
        <v>0</v>
      </c>
    </row>
    <row r="100" spans="2:13 16384:16384" ht="23.25" customHeight="1" x14ac:dyDescent="0.25">
      <c r="B100" s="372"/>
      <c r="C100" s="208">
        <f>COUNTIF(F98:L98,"&gt;0")</f>
        <v>0</v>
      </c>
      <c r="D100" s="217" t="s">
        <v>124</v>
      </c>
      <c r="E100" s="193"/>
      <c r="F100" s="217"/>
      <c r="G100" s="217"/>
      <c r="H100" s="217"/>
      <c r="I100" s="217"/>
      <c r="J100" s="217"/>
      <c r="K100" s="217"/>
      <c r="L100" s="217"/>
    </row>
    <row r="101" spans="2:13 16384:16384" ht="16.5" customHeight="1" x14ac:dyDescent="0.3">
      <c r="B101" s="178"/>
      <c r="C101" s="178"/>
      <c r="D101" s="178"/>
      <c r="E101" s="193"/>
      <c r="F101" s="178"/>
      <c r="G101" s="178"/>
      <c r="H101" s="178"/>
      <c r="I101" s="178"/>
      <c r="J101" s="178"/>
      <c r="K101" s="178"/>
      <c r="L101" s="178"/>
      <c r="M101" s="196"/>
    </row>
    <row r="102" spans="2:13 16384:16384" ht="16.5" customHeight="1" x14ac:dyDescent="0.25">
      <c r="B102" s="366" t="s">
        <v>106</v>
      </c>
      <c r="C102" s="367">
        <f>SUM(F102:L102)</f>
        <v>40</v>
      </c>
      <c r="D102" s="368" t="s">
        <v>105</v>
      </c>
      <c r="E102" s="193"/>
      <c r="F102" s="190">
        <f>IFERROR(INDEX(Hr,MATCH($B104,Sun,0),0),0)</f>
        <v>0</v>
      </c>
      <c r="G102" s="190">
        <f>IFERROR(INDEX(Hr,MATCH($B104,Mon,0),0),0)</f>
        <v>8</v>
      </c>
      <c r="H102" s="190">
        <f>IFERROR(INDEX(Hr,MATCH($B104,Tue,0),0),0)</f>
        <v>8</v>
      </c>
      <c r="I102" s="190">
        <f>IFERROR(INDEX(Hr,MATCH($B104,Wed,0),0),0)</f>
        <v>8</v>
      </c>
      <c r="J102" s="190">
        <f>IFERROR(INDEX(Hr,MATCH($B104,Thr,0),0),0)</f>
        <v>8</v>
      </c>
      <c r="K102" s="190">
        <f>IFERROR(INDEX(Hr,MATCH($B104,Fri,0),0),0)</f>
        <v>0</v>
      </c>
      <c r="L102" s="190">
        <f>IFERROR(INDEX(Hr,MATCH($B104,Sat,0),0),0)</f>
        <v>8</v>
      </c>
      <c r="M102" s="196"/>
    </row>
    <row r="103" spans="2:13 16384:16384" ht="16.5" customHeight="1" x14ac:dyDescent="0.25">
      <c r="B103" s="366"/>
      <c r="C103" s="367"/>
      <c r="D103" s="368"/>
      <c r="E103" s="193"/>
      <c r="F103" s="276" t="str">
        <f>IFERROR(REPLACE(VLOOKUP($B104,Sun,1,FALSE),1,65, "On"),"Off")</f>
        <v>Off</v>
      </c>
      <c r="G103" s="276" t="str">
        <f>IFERROR(REPLACE(VLOOKUP($B104,Mon,1,FALSE),1,65, "On"),"Off")</f>
        <v>On</v>
      </c>
      <c r="H103" s="276" t="str">
        <f>IFERROR(REPLACE(VLOOKUP($B104,Tue,1,FALSE),1,65, "On"),"Off")</f>
        <v>On</v>
      </c>
      <c r="I103" s="276" t="str">
        <f>IFERROR(REPLACE(VLOOKUP($B104,Wed,1,FALSE),1,65, "On"),"Off")</f>
        <v>On</v>
      </c>
      <c r="J103" s="276" t="str">
        <f>IFERROR(REPLACE(VLOOKUP($B104,Thr,1,FALSE),1,65, "On"),"Off")</f>
        <v>On</v>
      </c>
      <c r="K103" s="276" t="str">
        <f>IFERROR(REPLACE(VLOOKUP($B104,Fri,1,FALSE),1,65, "On"),"Off")</f>
        <v>Off</v>
      </c>
      <c r="L103" s="276" t="str">
        <f>IFERROR(REPLACE(VLOOKUP($B104,Sat,1,FALSE),1,65, "On"),"Off")</f>
        <v>On</v>
      </c>
      <c r="M103" s="196"/>
    </row>
    <row r="104" spans="2:13 16384:16384" ht="16.5" customHeight="1" x14ac:dyDescent="0.25">
      <c r="B104" s="369" t="s">
        <v>88</v>
      </c>
      <c r="C104" s="369"/>
      <c r="D104" s="370">
        <f>SUM(F105:L105)</f>
        <v>0</v>
      </c>
      <c r="E104" s="193"/>
      <c r="F104" s="202"/>
      <c r="G104" s="202"/>
      <c r="H104" s="202"/>
      <c r="I104" s="202"/>
      <c r="J104" s="202"/>
      <c r="K104" s="202"/>
      <c r="L104" s="202"/>
      <c r="M104" s="196"/>
    </row>
    <row r="105" spans="2:13 16384:16384" ht="16.5" customHeight="1" x14ac:dyDescent="0.25">
      <c r="B105" s="369"/>
      <c r="C105" s="369"/>
      <c r="D105" s="370"/>
      <c r="E105" s="193"/>
      <c r="F105" s="177"/>
      <c r="G105" s="177"/>
      <c r="H105" s="177"/>
      <c r="I105" s="177"/>
      <c r="J105" s="177"/>
      <c r="K105" s="177"/>
      <c r="L105" s="177"/>
      <c r="M105" s="196"/>
    </row>
    <row r="106" spans="2:13 16384:16384" s="205" customFormat="1" ht="21.75" customHeight="1" x14ac:dyDescent="0.25">
      <c r="B106" s="371" t="str">
        <f>"Day's: "&amp;COUNTIF(F102:L102,"&gt;0")</f>
        <v>Day's: 5</v>
      </c>
      <c r="C106" s="209" t="s">
        <v>117</v>
      </c>
      <c r="D106" s="218">
        <f>IF(C107,SUM(F105:L105)/C102,XFD106/1000)</f>
        <v>0</v>
      </c>
      <c r="E106" s="193"/>
      <c r="F106" s="207">
        <f t="shared" ref="F106:L106" si="11">IFERROR(MATCH(F104,Time_Eva,0),0)</f>
        <v>0</v>
      </c>
      <c r="G106" s="207">
        <f t="shared" si="11"/>
        <v>0</v>
      </c>
      <c r="H106" s="207">
        <f t="shared" si="11"/>
        <v>0</v>
      </c>
      <c r="I106" s="207">
        <f t="shared" si="11"/>
        <v>0</v>
      </c>
      <c r="J106" s="207">
        <f t="shared" si="11"/>
        <v>0</v>
      </c>
      <c r="K106" s="207">
        <f t="shared" si="11"/>
        <v>0</v>
      </c>
      <c r="L106" s="207">
        <f t="shared" si="11"/>
        <v>0</v>
      </c>
      <c r="M106" s="196"/>
      <c r="XFD106">
        <f>SUM(E106:L106)</f>
        <v>0</v>
      </c>
    </row>
    <row r="107" spans="2:13 16384:16384" ht="23.25" customHeight="1" x14ac:dyDescent="0.25">
      <c r="B107" s="372"/>
      <c r="C107" s="208">
        <f>COUNTIF(F105:L105,"&gt;0")</f>
        <v>0</v>
      </c>
      <c r="D107" s="217" t="s">
        <v>124</v>
      </c>
      <c r="E107" s="193"/>
      <c r="F107" s="217"/>
      <c r="G107" s="217"/>
      <c r="H107" s="217"/>
      <c r="I107" s="217"/>
      <c r="J107" s="217"/>
      <c r="K107" s="217"/>
      <c r="L107" s="217"/>
    </row>
    <row r="108" spans="2:13 16384:16384" ht="16.5" customHeight="1" x14ac:dyDescent="0.3">
      <c r="B108" s="178"/>
      <c r="C108" s="178"/>
      <c r="D108" s="178"/>
      <c r="E108" s="193"/>
      <c r="F108" s="178"/>
      <c r="G108" s="178"/>
      <c r="H108" s="178"/>
      <c r="I108" s="178"/>
      <c r="J108" s="178"/>
      <c r="K108" s="178"/>
      <c r="L108" s="178"/>
      <c r="M108" s="196"/>
    </row>
    <row r="109" spans="2:13 16384:16384" ht="16.5" customHeight="1" x14ac:dyDescent="0.25">
      <c r="B109" s="366" t="s">
        <v>106</v>
      </c>
      <c r="C109" s="367">
        <f>SUM(F109:L109)</f>
        <v>38</v>
      </c>
      <c r="D109" s="368" t="s">
        <v>105</v>
      </c>
      <c r="E109" s="193"/>
      <c r="F109" s="190">
        <f>IFERROR(INDEX(Hr,MATCH($B111,Sun,0),0),0)</f>
        <v>6</v>
      </c>
      <c r="G109" s="190">
        <f>IFERROR(INDEX(Hr,MATCH($B111,Mon,0),0),0)</f>
        <v>8</v>
      </c>
      <c r="H109" s="190">
        <f>IFERROR(INDEX(Hr,MATCH($B111,Tue,0),0),0)</f>
        <v>0</v>
      </c>
      <c r="I109" s="190">
        <f>IFERROR(INDEX(Hr,MATCH($B111,Wed,0),0),0)</f>
        <v>8</v>
      </c>
      <c r="J109" s="190">
        <f>IFERROR(INDEX(Hr,MATCH($B111,Thr,0),0),0)</f>
        <v>0</v>
      </c>
      <c r="K109" s="190">
        <f>IFERROR(INDEX(Hr,MATCH($B111,Fri,0),0),0)</f>
        <v>8</v>
      </c>
      <c r="L109" s="190">
        <f>IFERROR(INDEX(Hr,MATCH($B111,Sat,0),0),0)</f>
        <v>8</v>
      </c>
      <c r="M109" s="196"/>
    </row>
    <row r="110" spans="2:13 16384:16384" ht="16.5" customHeight="1" x14ac:dyDescent="0.25">
      <c r="B110" s="366"/>
      <c r="C110" s="367"/>
      <c r="D110" s="368"/>
      <c r="E110" s="193"/>
      <c r="F110" s="276" t="str">
        <f>IFERROR(REPLACE(VLOOKUP($B111,Sun,1,FALSE),1,65, "On"),"Off")</f>
        <v>On</v>
      </c>
      <c r="G110" s="276" t="str">
        <f>IFERROR(REPLACE(VLOOKUP($B111,Mon,1,FALSE),1,65, "On"),"Off")</f>
        <v>On</v>
      </c>
      <c r="H110" s="276" t="str">
        <f>IFERROR(REPLACE(VLOOKUP($B111,Tue,1,FALSE),1,65, "On"),"Off")</f>
        <v>Off</v>
      </c>
      <c r="I110" s="276" t="str">
        <f>IFERROR(REPLACE(VLOOKUP($B111,Wed,1,FALSE),1,65, "On"),"Off")</f>
        <v>On</v>
      </c>
      <c r="J110" s="276" t="str">
        <f>IFERROR(REPLACE(VLOOKUP($B111,Thr,1,FALSE),1,65, "On"),"Off")</f>
        <v>Off</v>
      </c>
      <c r="K110" s="276" t="str">
        <f>IFERROR(REPLACE(VLOOKUP($B111,Fri,1,FALSE),1,65, "On"),"Off")</f>
        <v>On</v>
      </c>
      <c r="L110" s="276" t="str">
        <f>IFERROR(REPLACE(VLOOKUP($B111,Sat,1,FALSE),1,65, "On"),"Off")</f>
        <v>On</v>
      </c>
      <c r="M110" s="196"/>
    </row>
    <row r="111" spans="2:13 16384:16384" ht="16.5" customHeight="1" x14ac:dyDescent="0.25">
      <c r="B111" s="369" t="s">
        <v>87</v>
      </c>
      <c r="C111" s="369"/>
      <c r="D111" s="370">
        <f>SUM(F112:L112)</f>
        <v>0</v>
      </c>
      <c r="E111" s="193"/>
      <c r="F111" s="202"/>
      <c r="G111" s="202"/>
      <c r="H111" s="202"/>
      <c r="I111" s="202"/>
      <c r="J111" s="202"/>
      <c r="K111" s="202"/>
      <c r="L111" s="202"/>
      <c r="M111" s="196"/>
    </row>
    <row r="112" spans="2:13 16384:16384" ht="16.5" customHeight="1" x14ac:dyDescent="0.25">
      <c r="B112" s="369"/>
      <c r="C112" s="369"/>
      <c r="D112" s="370"/>
      <c r="E112" s="193"/>
      <c r="F112" s="177"/>
      <c r="G112" s="177"/>
      <c r="H112" s="177"/>
      <c r="I112" s="177"/>
      <c r="J112" s="177"/>
      <c r="K112" s="177"/>
      <c r="L112" s="177"/>
      <c r="M112" s="196"/>
    </row>
    <row r="113" spans="2:13 16384:16384" s="205" customFormat="1" ht="21.75" customHeight="1" x14ac:dyDescent="0.25">
      <c r="B113" s="371" t="str">
        <f>"Day's: "&amp;COUNTIF(F109:L109,"&gt;0")</f>
        <v>Day's: 5</v>
      </c>
      <c r="C113" s="209" t="s">
        <v>117</v>
      </c>
      <c r="D113" s="218">
        <f>IF(C114,SUM(F112:L112)/C109,XFD113/1000)</f>
        <v>0</v>
      </c>
      <c r="E113" s="193"/>
      <c r="F113" s="207">
        <f t="shared" ref="F113:L113" si="12">IFERROR(MATCH(F111,Time_Eva,0),0)</f>
        <v>0</v>
      </c>
      <c r="G113" s="207">
        <f t="shared" si="12"/>
        <v>0</v>
      </c>
      <c r="H113" s="207">
        <f t="shared" si="12"/>
        <v>0</v>
      </c>
      <c r="I113" s="207">
        <f t="shared" si="12"/>
        <v>0</v>
      </c>
      <c r="J113" s="207">
        <f t="shared" si="12"/>
        <v>0</v>
      </c>
      <c r="K113" s="207">
        <f t="shared" si="12"/>
        <v>0</v>
      </c>
      <c r="L113" s="207">
        <f t="shared" si="12"/>
        <v>0</v>
      </c>
      <c r="M113" s="196"/>
      <c r="XFD113">
        <f>SUM(E113:L113)</f>
        <v>0</v>
      </c>
    </row>
    <row r="114" spans="2:13 16384:16384" ht="23.25" customHeight="1" x14ac:dyDescent="0.25">
      <c r="B114" s="372"/>
      <c r="C114" s="208">
        <f>COUNTIF(F112:L112,"&gt;0")</f>
        <v>0</v>
      </c>
      <c r="D114" s="217" t="s">
        <v>124</v>
      </c>
      <c r="E114" s="193"/>
      <c r="F114" s="217"/>
      <c r="G114" s="217"/>
      <c r="H114" s="217"/>
      <c r="I114" s="217"/>
      <c r="J114" s="217"/>
      <c r="K114" s="217"/>
      <c r="L114" s="217"/>
    </row>
    <row r="115" spans="2:13 16384:16384" ht="16.5" customHeight="1" x14ac:dyDescent="0.3">
      <c r="B115" s="178"/>
      <c r="C115" s="178"/>
      <c r="D115" s="178"/>
      <c r="E115" s="193"/>
      <c r="F115" s="178"/>
      <c r="G115" s="178"/>
      <c r="H115" s="178"/>
      <c r="I115" s="178"/>
      <c r="J115" s="178"/>
      <c r="K115" s="178"/>
      <c r="L115" s="178"/>
      <c r="M115" s="196"/>
    </row>
    <row r="116" spans="2:13 16384:16384" ht="16.5" customHeight="1" x14ac:dyDescent="0.25">
      <c r="B116" s="366" t="s">
        <v>106</v>
      </c>
      <c r="C116" s="367">
        <f>SUM(F116:L116)</f>
        <v>11</v>
      </c>
      <c r="D116" s="368" t="s">
        <v>105</v>
      </c>
      <c r="E116" s="193"/>
      <c r="F116" s="190">
        <f>IFERROR(INDEX(Hr,MATCH($B118,Sun,0),0),0)</f>
        <v>0</v>
      </c>
      <c r="G116" s="190">
        <f>IFERROR(INDEX(Hr,MATCH($B118,Mon,0),0),0)</f>
        <v>0</v>
      </c>
      <c r="H116" s="190">
        <f>IFERROR(INDEX(Hr,MATCH($B118,Tue,0),0),0)</f>
        <v>0</v>
      </c>
      <c r="I116" s="190">
        <f>IFERROR(INDEX(Hr,MATCH($B118,Wed,0),0),0)</f>
        <v>11</v>
      </c>
      <c r="J116" s="190">
        <f>IFERROR(INDEX(Hr,MATCH($B118,Thr,0),0),0)</f>
        <v>0</v>
      </c>
      <c r="K116" s="190">
        <f>IFERROR(INDEX(Hr,MATCH($B118,Fri,0),0),0)</f>
        <v>0</v>
      </c>
      <c r="L116" s="190">
        <f>IFERROR(INDEX(Hr,MATCH($B118,Sat,0),0),0)</f>
        <v>0</v>
      </c>
      <c r="M116" s="196"/>
    </row>
    <row r="117" spans="2:13 16384:16384" ht="16.5" customHeight="1" x14ac:dyDescent="0.25">
      <c r="B117" s="366"/>
      <c r="C117" s="367"/>
      <c r="D117" s="368"/>
      <c r="E117" s="193"/>
      <c r="F117" s="276" t="str">
        <f>IFERROR(REPLACE(VLOOKUP($B118,Sun,1,FALSE),1,65, "On"),"Off")</f>
        <v>Off</v>
      </c>
      <c r="G117" s="276" t="str">
        <f>IFERROR(REPLACE(VLOOKUP($B118,Mon,1,FALSE),1,65, "On"),"Off")</f>
        <v>Off</v>
      </c>
      <c r="H117" s="276" t="str">
        <f>IFERROR(REPLACE(VLOOKUP($B118,Tue,1,FALSE),1,65, "On"),"Off")</f>
        <v>Off</v>
      </c>
      <c r="I117" s="276" t="str">
        <f>IFERROR(REPLACE(VLOOKUP($B118,Wed,1,FALSE),1,65, "On"),"Off")</f>
        <v>On</v>
      </c>
      <c r="J117" s="276" t="str">
        <f>IFERROR(REPLACE(VLOOKUP($B118,Thr,1,FALSE),1,65, "On"),"Off")</f>
        <v>Off</v>
      </c>
      <c r="K117" s="276" t="str">
        <f>IFERROR(REPLACE(VLOOKUP($B118,Fri,1,FALSE),1,65, "On"),"Off")</f>
        <v>Off</v>
      </c>
      <c r="L117" s="276" t="str">
        <f>IFERROR(REPLACE(VLOOKUP($B118,Sat,1,FALSE),1,65, "On"),"Off")</f>
        <v>Off</v>
      </c>
      <c r="M117" s="196"/>
    </row>
    <row r="118" spans="2:13 16384:16384" ht="16.5" customHeight="1" x14ac:dyDescent="0.25">
      <c r="B118" s="369" t="s">
        <v>111</v>
      </c>
      <c r="C118" s="369"/>
      <c r="D118" s="370">
        <f>SUM(F119:L119)</f>
        <v>0</v>
      </c>
      <c r="E118" s="193"/>
      <c r="F118" s="202"/>
      <c r="G118" s="202"/>
      <c r="H118" s="202"/>
      <c r="I118" s="202"/>
      <c r="J118" s="202"/>
      <c r="K118" s="202"/>
      <c r="L118" s="202"/>
      <c r="M118" s="196"/>
    </row>
    <row r="119" spans="2:13 16384:16384" ht="16.5" customHeight="1" x14ac:dyDescent="0.25">
      <c r="B119" s="369"/>
      <c r="C119" s="369"/>
      <c r="D119" s="370"/>
      <c r="E119" s="193"/>
      <c r="F119" s="177"/>
      <c r="G119" s="177"/>
      <c r="H119" s="177"/>
      <c r="I119" s="177"/>
      <c r="J119" s="177"/>
      <c r="K119" s="177"/>
      <c r="L119" s="177"/>
      <c r="M119" s="196"/>
    </row>
    <row r="120" spans="2:13 16384:16384" s="205" customFormat="1" ht="21.75" customHeight="1" x14ac:dyDescent="0.25">
      <c r="B120" s="371" t="str">
        <f>"Day's: "&amp;COUNTIF(F116:L116,"&gt;0")</f>
        <v>Day's: 1</v>
      </c>
      <c r="C120" s="209" t="s">
        <v>117</v>
      </c>
      <c r="D120" s="218">
        <f>IF(C121,SUM(F119:L119)/C116,XFD120/1000)</f>
        <v>0</v>
      </c>
      <c r="E120" s="193"/>
      <c r="F120" s="207">
        <f t="shared" ref="F120:L120" si="13">IFERROR(MATCH(F118,Time_Eva,0),0)</f>
        <v>0</v>
      </c>
      <c r="G120" s="207">
        <f t="shared" si="13"/>
        <v>0</v>
      </c>
      <c r="H120" s="207">
        <f t="shared" si="13"/>
        <v>0</v>
      </c>
      <c r="I120" s="207">
        <f t="shared" si="13"/>
        <v>0</v>
      </c>
      <c r="J120" s="207">
        <f t="shared" si="13"/>
        <v>0</v>
      </c>
      <c r="K120" s="207">
        <f t="shared" si="13"/>
        <v>0</v>
      </c>
      <c r="L120" s="207">
        <f t="shared" si="13"/>
        <v>0</v>
      </c>
      <c r="M120" s="196"/>
      <c r="XFD120">
        <f>SUM(E120:L120)</f>
        <v>0</v>
      </c>
    </row>
    <row r="121" spans="2:13 16384:16384" ht="23.25" customHeight="1" x14ac:dyDescent="0.25">
      <c r="B121" s="372"/>
      <c r="C121" s="208">
        <f>COUNTIF(F119:L119,"&gt;0")</f>
        <v>0</v>
      </c>
      <c r="D121" s="217" t="s">
        <v>124</v>
      </c>
      <c r="E121" s="193"/>
      <c r="F121" s="217"/>
      <c r="G121" s="217"/>
      <c r="H121" s="217"/>
      <c r="I121" s="217"/>
      <c r="J121" s="217"/>
      <c r="K121" s="217"/>
      <c r="L121" s="217"/>
    </row>
    <row r="122" spans="2:13 16384:16384" ht="16.5" customHeight="1" x14ac:dyDescent="0.25">
      <c r="B122" s="180"/>
      <c r="C122" s="180"/>
      <c r="D122" s="180"/>
      <c r="E122" s="193"/>
      <c r="F122" s="180"/>
      <c r="G122" s="180"/>
      <c r="H122" s="180"/>
      <c r="I122" s="180"/>
      <c r="J122" s="180"/>
      <c r="K122" s="180"/>
      <c r="L122" s="180"/>
      <c r="M122" s="196"/>
    </row>
    <row r="123" spans="2:13 16384:16384" ht="16.5" customHeight="1" x14ac:dyDescent="0.25">
      <c r="B123" s="366" t="s">
        <v>106</v>
      </c>
      <c r="C123" s="367">
        <f>SUM(F123:L123)</f>
        <v>8</v>
      </c>
      <c r="D123" s="368" t="s">
        <v>105</v>
      </c>
      <c r="E123" s="193"/>
      <c r="F123" s="190">
        <f>IFERROR(INDEX(Hr,MATCH($B125,Sun,0),0),0)</f>
        <v>0</v>
      </c>
      <c r="G123" s="190">
        <f>IFERROR(INDEX(Hr,MATCH($B125,Mon,0),0),0)</f>
        <v>0</v>
      </c>
      <c r="H123" s="190">
        <f>IFERROR(INDEX(Hr,MATCH($B125,Tue,0),0),0)</f>
        <v>0</v>
      </c>
      <c r="I123" s="190">
        <f>IFERROR(INDEX(Hr,MATCH($B125,Wed,0),0),0)</f>
        <v>0</v>
      </c>
      <c r="J123" s="190">
        <f>IFERROR(INDEX(Hr,MATCH($B125,Thr,0),0),0)</f>
        <v>0</v>
      </c>
      <c r="K123" s="190">
        <f>IFERROR(INDEX(Hr,MATCH($B125,Fri,0),0),0)</f>
        <v>0</v>
      </c>
      <c r="L123" s="190">
        <f>IFERROR(INDEX(Hr,MATCH($B125,Sat,0),0),0)</f>
        <v>8</v>
      </c>
      <c r="M123" s="196"/>
    </row>
    <row r="124" spans="2:13 16384:16384" ht="16.5" customHeight="1" x14ac:dyDescent="0.25">
      <c r="B124" s="366"/>
      <c r="C124" s="367"/>
      <c r="D124" s="368"/>
      <c r="E124" s="193"/>
      <c r="F124" s="276" t="str">
        <f>IFERROR(REPLACE(VLOOKUP($B125,Sun,1,FALSE),1,65, "On"),"Off")</f>
        <v>Off</v>
      </c>
      <c r="G124" s="276" t="str">
        <f>IFERROR(REPLACE(VLOOKUP($B125,Mon,1,FALSE),1,65, "On"),"Off")</f>
        <v>Off</v>
      </c>
      <c r="H124" s="276" t="str">
        <f>IFERROR(REPLACE(VLOOKUP($B125,Tue,1,FALSE),1,65, "On"),"Off")</f>
        <v>Off</v>
      </c>
      <c r="I124" s="276" t="str">
        <f>IFERROR(REPLACE(VLOOKUP($B125,Wed,1,FALSE),1,65, "On"),"Off")</f>
        <v>Off</v>
      </c>
      <c r="J124" s="276" t="str">
        <f>IFERROR(REPLACE(VLOOKUP($B125,Thr,1,FALSE),1,65, "On"),"Off")</f>
        <v>Off</v>
      </c>
      <c r="K124" s="276" t="str">
        <f>IFERROR(REPLACE(VLOOKUP($B125,Fri,1,FALSE),1,65, "On"),"Off")</f>
        <v>Off</v>
      </c>
      <c r="L124" s="276" t="str">
        <f>IFERROR(REPLACE(VLOOKUP($B125,Sat,1,FALSE),1,65, "On"),"Off")</f>
        <v>On</v>
      </c>
      <c r="M124" s="196"/>
    </row>
    <row r="125" spans="2:13 16384:16384" ht="16.5" customHeight="1" x14ac:dyDescent="0.25">
      <c r="B125" s="369" t="s">
        <v>112</v>
      </c>
      <c r="C125" s="369"/>
      <c r="D125" s="370">
        <f>SUM(F126:L126)</f>
        <v>0</v>
      </c>
      <c r="E125" s="193"/>
      <c r="F125" s="202"/>
      <c r="G125" s="202"/>
      <c r="H125" s="202"/>
      <c r="I125" s="202"/>
      <c r="J125" s="202"/>
      <c r="K125" s="202"/>
      <c r="L125" s="202"/>
      <c r="M125" s="196"/>
    </row>
    <row r="126" spans="2:13 16384:16384" ht="16.5" customHeight="1" x14ac:dyDescent="0.25">
      <c r="B126" s="369"/>
      <c r="C126" s="369"/>
      <c r="D126" s="370"/>
      <c r="E126" s="193"/>
      <c r="F126" s="177"/>
      <c r="G126" s="177"/>
      <c r="H126" s="177"/>
      <c r="I126" s="177"/>
      <c r="J126" s="177"/>
      <c r="K126" s="177"/>
      <c r="L126" s="177"/>
      <c r="M126" s="196"/>
    </row>
    <row r="127" spans="2:13 16384:16384" s="205" customFormat="1" ht="21.75" customHeight="1" x14ac:dyDescent="0.25">
      <c r="B127" s="371" t="str">
        <f>"Day's: "&amp;COUNTIF(F123:L123,"&gt;0")</f>
        <v>Day's: 1</v>
      </c>
      <c r="C127" s="209" t="s">
        <v>117</v>
      </c>
      <c r="D127" s="218">
        <f>IF(C128,SUM(F126:L126)/C123,XFD127/1000)</f>
        <v>0</v>
      </c>
      <c r="E127" s="193"/>
      <c r="F127" s="207">
        <f t="shared" ref="F127:L127" si="14">IFERROR(MATCH(F125,Time_Eva,0),0)</f>
        <v>0</v>
      </c>
      <c r="G127" s="207">
        <f t="shared" si="14"/>
        <v>0</v>
      </c>
      <c r="H127" s="207">
        <f t="shared" si="14"/>
        <v>0</v>
      </c>
      <c r="I127" s="207">
        <f t="shared" si="14"/>
        <v>0</v>
      </c>
      <c r="J127" s="207">
        <f t="shared" si="14"/>
        <v>0</v>
      </c>
      <c r="K127" s="207">
        <f t="shared" si="14"/>
        <v>0</v>
      </c>
      <c r="L127" s="207">
        <f t="shared" si="14"/>
        <v>0</v>
      </c>
      <c r="M127" s="196"/>
      <c r="XFD127">
        <f>SUM(E127:L127)</f>
        <v>0</v>
      </c>
    </row>
    <row r="128" spans="2:13 16384:16384" ht="23.25" customHeight="1" x14ac:dyDescent="0.25">
      <c r="B128" s="372"/>
      <c r="C128" s="208">
        <f>COUNTIF(F126:L126,"&gt;0")</f>
        <v>0</v>
      </c>
      <c r="D128" s="217" t="s">
        <v>124</v>
      </c>
      <c r="E128" s="193"/>
      <c r="F128" s="217"/>
      <c r="G128" s="217"/>
      <c r="H128" s="217"/>
      <c r="I128" s="217"/>
      <c r="J128" s="217"/>
      <c r="K128" s="217"/>
      <c r="L128" s="217"/>
    </row>
    <row r="129" spans="2:13 16384:16384" ht="16.5" customHeight="1" x14ac:dyDescent="0.25">
      <c r="B129" s="180"/>
      <c r="C129" s="180"/>
      <c r="D129" s="180"/>
      <c r="E129" s="193"/>
      <c r="F129" s="180"/>
      <c r="G129" s="180"/>
      <c r="H129" s="180"/>
      <c r="I129" s="180"/>
      <c r="J129" s="180"/>
      <c r="K129" s="180"/>
      <c r="L129" s="180"/>
      <c r="M129" s="196"/>
    </row>
    <row r="130" spans="2:13 16384:16384" ht="16.5" customHeight="1" x14ac:dyDescent="0.25">
      <c r="B130" s="366" t="s">
        <v>106</v>
      </c>
      <c r="C130" s="367">
        <f>SUM(F130:L130)</f>
        <v>8</v>
      </c>
      <c r="D130" s="368" t="s">
        <v>105</v>
      </c>
      <c r="E130" s="193"/>
      <c r="F130" s="190">
        <f>IFERROR(INDEX(Hr,MATCH($B132,Sun,0),0),0)</f>
        <v>0</v>
      </c>
      <c r="G130" s="190">
        <f>IFERROR(INDEX(Hr,MATCH($B132,Mon,0),0),0)</f>
        <v>0</v>
      </c>
      <c r="H130" s="190">
        <f>IFERROR(INDEX(Hr,MATCH($B132,Tue,0),0),0)</f>
        <v>0</v>
      </c>
      <c r="I130" s="190">
        <f>IFERROR(INDEX(Hr,MATCH($B132,Wed,0),0),0)</f>
        <v>0</v>
      </c>
      <c r="J130" s="190">
        <f>IFERROR(INDEX(Hr,MATCH($B132,Thr,0),0),0)</f>
        <v>0</v>
      </c>
      <c r="K130" s="190">
        <f>IFERROR(INDEX(Hr,MATCH($B132,Fri,0),0),0)</f>
        <v>0</v>
      </c>
      <c r="L130" s="190">
        <f>IFERROR(INDEX(Hr,MATCH($B132,Sat,0),0),0)</f>
        <v>8</v>
      </c>
      <c r="M130" s="196"/>
    </row>
    <row r="131" spans="2:13 16384:16384" ht="16.5" customHeight="1" x14ac:dyDescent="0.25">
      <c r="B131" s="366"/>
      <c r="C131" s="367"/>
      <c r="D131" s="368"/>
      <c r="E131" s="193"/>
      <c r="F131" s="276" t="str">
        <f>IFERROR(REPLACE(VLOOKUP($B132,Sun,1,FALSE),1,65, "On"),"Off")</f>
        <v>Off</v>
      </c>
      <c r="G131" s="276" t="str">
        <f>IFERROR(REPLACE(VLOOKUP($B132,Mon,1,FALSE),1,65, "On"),"Off")</f>
        <v>Off</v>
      </c>
      <c r="H131" s="276" t="str">
        <f>IFERROR(REPLACE(VLOOKUP($B132,Tue,1,FALSE),1,65, "On"),"Off")</f>
        <v>Off</v>
      </c>
      <c r="I131" s="276" t="str">
        <f>IFERROR(REPLACE(VLOOKUP($B132,Wed,1,FALSE),1,65, "On"),"Off")</f>
        <v>Off</v>
      </c>
      <c r="J131" s="276" t="str">
        <f>IFERROR(REPLACE(VLOOKUP($B132,Thr,1,FALSE),1,65, "On"),"Off")</f>
        <v>Off</v>
      </c>
      <c r="K131" s="276" t="str">
        <f>IFERROR(REPLACE(VLOOKUP($B132,Fri,1,FALSE),1,65, "On"),"Off")</f>
        <v>Off</v>
      </c>
      <c r="L131" s="276" t="str">
        <f>IFERROR(REPLACE(VLOOKUP($B132,Sat,1,FALSE),1,65, "On"),"Off")</f>
        <v>On</v>
      </c>
      <c r="M131" s="196"/>
    </row>
    <row r="132" spans="2:13 16384:16384" ht="16.5" customHeight="1" x14ac:dyDescent="0.25">
      <c r="B132" s="369" t="s">
        <v>112</v>
      </c>
      <c r="C132" s="369"/>
      <c r="D132" s="370">
        <f>SUM(F133:L133)</f>
        <v>0</v>
      </c>
      <c r="E132" s="193"/>
      <c r="F132" s="202"/>
      <c r="G132" s="202"/>
      <c r="H132" s="202"/>
      <c r="I132" s="202"/>
      <c r="J132" s="202"/>
      <c r="K132" s="202"/>
      <c r="L132" s="202"/>
      <c r="M132" s="196"/>
    </row>
    <row r="133" spans="2:13 16384:16384" ht="16.5" customHeight="1" x14ac:dyDescent="0.25">
      <c r="B133" s="369"/>
      <c r="C133" s="369"/>
      <c r="D133" s="370"/>
      <c r="E133" s="193"/>
      <c r="F133" s="177"/>
      <c r="G133" s="177"/>
      <c r="H133" s="177"/>
      <c r="I133" s="177"/>
      <c r="J133" s="177"/>
      <c r="K133" s="177"/>
      <c r="L133" s="177"/>
      <c r="M133" s="196"/>
    </row>
    <row r="134" spans="2:13 16384:16384" s="205" customFormat="1" ht="21.75" customHeight="1" x14ac:dyDescent="0.25">
      <c r="B134" s="371" t="str">
        <f>"Day's: "&amp;COUNTIF(F130:L130,"&gt;0")</f>
        <v>Day's: 1</v>
      </c>
      <c r="C134" s="209" t="s">
        <v>117</v>
      </c>
      <c r="D134" s="218">
        <f>IF(C135,SUM(F133:L133)/C130,XFD134/1000)</f>
        <v>0</v>
      </c>
      <c r="E134" s="193"/>
      <c r="F134" s="207">
        <f t="shared" ref="F134:L134" si="15">IFERROR(MATCH(F132,Time_Eva,0),0)</f>
        <v>0</v>
      </c>
      <c r="G134" s="207">
        <f t="shared" si="15"/>
        <v>0</v>
      </c>
      <c r="H134" s="207">
        <f t="shared" si="15"/>
        <v>0</v>
      </c>
      <c r="I134" s="207">
        <f t="shared" si="15"/>
        <v>0</v>
      </c>
      <c r="J134" s="207">
        <f t="shared" si="15"/>
        <v>0</v>
      </c>
      <c r="K134" s="207">
        <f t="shared" si="15"/>
        <v>0</v>
      </c>
      <c r="L134" s="207">
        <f t="shared" si="15"/>
        <v>0</v>
      </c>
      <c r="M134" s="196"/>
      <c r="XFD134">
        <f>SUM(E134:L134)</f>
        <v>0</v>
      </c>
    </row>
    <row r="135" spans="2:13 16384:16384" ht="23.25" customHeight="1" x14ac:dyDescent="0.25">
      <c r="B135" s="372"/>
      <c r="C135" s="208">
        <f>COUNTIF(F133:L133,"&gt;0")</f>
        <v>0</v>
      </c>
      <c r="D135" s="217" t="s">
        <v>124</v>
      </c>
      <c r="E135" s="193"/>
      <c r="F135" s="217"/>
      <c r="G135" s="217"/>
      <c r="H135" s="217"/>
      <c r="I135" s="217"/>
      <c r="J135" s="217"/>
      <c r="K135" s="217"/>
      <c r="L135" s="217"/>
    </row>
    <row r="136" spans="2:13 16384:16384" ht="16.5" customHeight="1" x14ac:dyDescent="0.25">
      <c r="B136" s="180"/>
      <c r="C136" s="180"/>
      <c r="D136" s="180"/>
      <c r="E136" s="193"/>
      <c r="F136" s="180"/>
      <c r="G136" s="180"/>
      <c r="H136" s="180"/>
      <c r="I136" s="180"/>
      <c r="J136" s="180"/>
      <c r="K136" s="180"/>
      <c r="L136" s="180"/>
      <c r="M136" s="196"/>
    </row>
    <row r="137" spans="2:13 16384:16384" ht="16.5" customHeight="1" x14ac:dyDescent="0.25">
      <c r="B137" s="366" t="s">
        <v>106</v>
      </c>
      <c r="C137" s="367">
        <f>SUM(F137:L137)</f>
        <v>44</v>
      </c>
      <c r="D137" s="368" t="s">
        <v>105</v>
      </c>
      <c r="E137" s="193"/>
      <c r="F137" s="190">
        <f>IFERROR(INDEX(Hr,MATCH($B139,Sun,0),0),0)</f>
        <v>0</v>
      </c>
      <c r="G137" s="190">
        <f>IFERROR(INDEX(Hr,MATCH($B139,Mon,0),0),0)</f>
        <v>0</v>
      </c>
      <c r="H137" s="190">
        <f>IFERROR(INDEX(Hr,MATCH($B139,Tue,0),0),0)</f>
        <v>11</v>
      </c>
      <c r="I137" s="190">
        <f>IFERROR(INDEX(Hr,MATCH($B139,Wed,0),0),0)</f>
        <v>0</v>
      </c>
      <c r="J137" s="190">
        <f>IFERROR(INDEX(Hr,MATCH($B139,Thr,0),0),0)</f>
        <v>11</v>
      </c>
      <c r="K137" s="190">
        <f>IFERROR(INDEX(Hr,MATCH($B139,Fri,0),0),0)</f>
        <v>11</v>
      </c>
      <c r="L137" s="190">
        <f>IFERROR(INDEX(Hr,MATCH($B139,Sat,0),0),0)</f>
        <v>11</v>
      </c>
      <c r="M137" s="196"/>
    </row>
    <row r="138" spans="2:13 16384:16384" ht="16.5" customHeight="1" x14ac:dyDescent="0.25">
      <c r="B138" s="366"/>
      <c r="C138" s="367"/>
      <c r="D138" s="368"/>
      <c r="E138" s="193"/>
      <c r="F138" s="276" t="str">
        <f>IFERROR(REPLACE(VLOOKUP($B139,Sun,1,FALSE),1,65, "On"),"Off")</f>
        <v>Off</v>
      </c>
      <c r="G138" s="276" t="str">
        <f>IFERROR(REPLACE(VLOOKUP($B139,Mon,1,FALSE),1,65, "On"),"Off")</f>
        <v>Off</v>
      </c>
      <c r="H138" s="276" t="str">
        <f>IFERROR(REPLACE(VLOOKUP($B139,Tue,1,FALSE),1,65, "On"),"Off")</f>
        <v>On</v>
      </c>
      <c r="I138" s="276" t="str">
        <f>IFERROR(REPLACE(VLOOKUP($B139,Wed,1,FALSE),1,65, "On"),"Off")</f>
        <v>Off</v>
      </c>
      <c r="J138" s="276" t="str">
        <f>IFERROR(REPLACE(VLOOKUP($B139,Thr,1,FALSE),1,65, "On"),"Off")</f>
        <v>On</v>
      </c>
      <c r="K138" s="276" t="str">
        <f>IFERROR(REPLACE(VLOOKUP($B139,Fri,1,FALSE),1,65, "On"),"Off")</f>
        <v>On</v>
      </c>
      <c r="L138" s="276" t="str">
        <f>IFERROR(REPLACE(VLOOKUP($B139,Sat,1,FALSE),1,65, "On"),"Off")</f>
        <v>On</v>
      </c>
      <c r="M138" s="196"/>
    </row>
    <row r="139" spans="2:13 16384:16384" ht="16.5" customHeight="1" x14ac:dyDescent="0.25">
      <c r="B139" s="369" t="s">
        <v>96</v>
      </c>
      <c r="C139" s="369"/>
      <c r="D139" s="370">
        <f>SUM(F140:L140)</f>
        <v>0</v>
      </c>
      <c r="E139" s="193"/>
      <c r="F139" s="202"/>
      <c r="G139" s="202"/>
      <c r="H139" s="202"/>
      <c r="I139" s="202"/>
      <c r="J139" s="202"/>
      <c r="K139" s="202"/>
      <c r="L139" s="202"/>
      <c r="M139" s="196"/>
    </row>
    <row r="140" spans="2:13 16384:16384" ht="16.5" customHeight="1" x14ac:dyDescent="0.25">
      <c r="B140" s="369"/>
      <c r="C140" s="369"/>
      <c r="D140" s="370"/>
      <c r="E140" s="193"/>
      <c r="F140" s="177"/>
      <c r="G140" s="177"/>
      <c r="H140" s="177"/>
      <c r="I140" s="177"/>
      <c r="J140" s="177"/>
      <c r="K140" s="177"/>
      <c r="L140" s="177"/>
      <c r="M140" s="196"/>
    </row>
    <row r="141" spans="2:13 16384:16384" s="205" customFormat="1" ht="21.75" customHeight="1" x14ac:dyDescent="0.25">
      <c r="B141" s="371" t="str">
        <f>"Day's: "&amp;COUNTIF(F137:L137,"&gt;0")</f>
        <v>Day's: 4</v>
      </c>
      <c r="C141" s="209" t="s">
        <v>117</v>
      </c>
      <c r="D141" s="218">
        <f>IF(C142,SUM(F140:L140)/C137,XFD141/1000)</f>
        <v>0</v>
      </c>
      <c r="E141" s="193"/>
      <c r="F141" s="207">
        <f t="shared" ref="F141:L141" si="16">IFERROR(MATCH(F139,Time_Eva,0),0)</f>
        <v>0</v>
      </c>
      <c r="G141" s="207">
        <f t="shared" si="16"/>
        <v>0</v>
      </c>
      <c r="H141" s="207">
        <f t="shared" si="16"/>
        <v>0</v>
      </c>
      <c r="I141" s="207">
        <f t="shared" si="16"/>
        <v>0</v>
      </c>
      <c r="J141" s="207">
        <f t="shared" si="16"/>
        <v>0</v>
      </c>
      <c r="K141" s="207">
        <f t="shared" si="16"/>
        <v>0</v>
      </c>
      <c r="L141" s="207">
        <f t="shared" si="16"/>
        <v>0</v>
      </c>
      <c r="M141" s="196"/>
      <c r="XFD141">
        <f>SUM(E141:L141)</f>
        <v>0</v>
      </c>
    </row>
    <row r="142" spans="2:13 16384:16384" ht="23.25" customHeight="1" x14ac:dyDescent="0.25">
      <c r="B142" s="372"/>
      <c r="C142" s="208">
        <f>COUNTIF(F140:L140,"&gt;0")</f>
        <v>0</v>
      </c>
      <c r="D142" s="217" t="s">
        <v>124</v>
      </c>
      <c r="E142" s="193"/>
      <c r="F142" s="217"/>
      <c r="G142" s="217"/>
      <c r="H142" s="217"/>
      <c r="I142" s="217"/>
      <c r="J142" s="217"/>
      <c r="K142" s="217"/>
      <c r="L142" s="217"/>
    </row>
    <row r="143" spans="2:13 16384:16384" ht="16.5" customHeight="1" x14ac:dyDescent="0.25">
      <c r="B143" s="180"/>
      <c r="C143" s="180"/>
      <c r="D143" s="180"/>
      <c r="E143" s="193"/>
      <c r="F143" s="180"/>
      <c r="G143" s="180"/>
      <c r="H143" s="180"/>
      <c r="I143" s="180"/>
      <c r="J143" s="180"/>
      <c r="K143" s="180"/>
      <c r="L143" s="180"/>
      <c r="M143" s="196"/>
    </row>
    <row r="144" spans="2:13 16384:16384" s="19" customFormat="1" ht="16.5" customHeight="1" x14ac:dyDescent="0.25">
      <c r="B144" s="199" t="s">
        <v>115</v>
      </c>
      <c r="C144" s="196" t="s">
        <v>116</v>
      </c>
      <c r="D144" s="196"/>
      <c r="E144" s="196"/>
      <c r="F144" s="196"/>
      <c r="G144" s="196"/>
      <c r="H144" s="373" t="s">
        <v>125</v>
      </c>
      <c r="I144" s="373"/>
      <c r="J144" s="219" t="s">
        <v>126</v>
      </c>
      <c r="K144" s="198" t="s">
        <v>113</v>
      </c>
      <c r="L144" s="197" t="s">
        <v>114</v>
      </c>
      <c r="M144" s="196"/>
    </row>
  </sheetData>
  <mergeCells count="123">
    <mergeCell ref="B29:C30"/>
    <mergeCell ref="B13:C14"/>
    <mergeCell ref="B15:C15"/>
    <mergeCell ref="B16:C17"/>
    <mergeCell ref="B19:C19"/>
    <mergeCell ref="B20:C21"/>
    <mergeCell ref="B22:C22"/>
    <mergeCell ref="F2:G2"/>
    <mergeCell ref="F4:G4"/>
    <mergeCell ref="B7:C8"/>
    <mergeCell ref="B10:C11"/>
    <mergeCell ref="B12:C12"/>
    <mergeCell ref="D7:D8"/>
    <mergeCell ref="E7:E8"/>
    <mergeCell ref="I25:I26"/>
    <mergeCell ref="J25:J26"/>
    <mergeCell ref="K25:K26"/>
    <mergeCell ref="L25:L26"/>
    <mergeCell ref="N25:N26"/>
    <mergeCell ref="B26:C26"/>
    <mergeCell ref="B23:C24"/>
    <mergeCell ref="B25:C25"/>
    <mergeCell ref="D25:E26"/>
    <mergeCell ref="F25:F26"/>
    <mergeCell ref="G25:G26"/>
    <mergeCell ref="H25:H26"/>
    <mergeCell ref="B39:B40"/>
    <mergeCell ref="C39:C40"/>
    <mergeCell ref="D39:D40"/>
    <mergeCell ref="B41:C42"/>
    <mergeCell ref="D41:D42"/>
    <mergeCell ref="B43:B44"/>
    <mergeCell ref="B32:B33"/>
    <mergeCell ref="C32:C33"/>
    <mergeCell ref="D32:D33"/>
    <mergeCell ref="B34:C35"/>
    <mergeCell ref="D34:D35"/>
    <mergeCell ref="B36:B37"/>
    <mergeCell ref="B53:B54"/>
    <mergeCell ref="C53:C54"/>
    <mergeCell ref="D53:D54"/>
    <mergeCell ref="B55:C56"/>
    <mergeCell ref="D55:D56"/>
    <mergeCell ref="B57:B58"/>
    <mergeCell ref="B46:B47"/>
    <mergeCell ref="C46:C47"/>
    <mergeCell ref="D46:D47"/>
    <mergeCell ref="B48:C49"/>
    <mergeCell ref="D48:D49"/>
    <mergeCell ref="B50:B51"/>
    <mergeCell ref="B67:B68"/>
    <mergeCell ref="C67:C68"/>
    <mergeCell ref="D67:D68"/>
    <mergeCell ref="B69:C70"/>
    <mergeCell ref="D69:D70"/>
    <mergeCell ref="B71:B72"/>
    <mergeCell ref="B60:B61"/>
    <mergeCell ref="C60:C61"/>
    <mergeCell ref="D60:D61"/>
    <mergeCell ref="B62:C63"/>
    <mergeCell ref="D62:D63"/>
    <mergeCell ref="B64:B65"/>
    <mergeCell ref="B81:B82"/>
    <mergeCell ref="C81:C82"/>
    <mergeCell ref="D81:D82"/>
    <mergeCell ref="B83:C84"/>
    <mergeCell ref="D83:D84"/>
    <mergeCell ref="B85:B86"/>
    <mergeCell ref="B74:B75"/>
    <mergeCell ref="C74:C75"/>
    <mergeCell ref="D74:D75"/>
    <mergeCell ref="B76:C77"/>
    <mergeCell ref="D76:D77"/>
    <mergeCell ref="B78:B79"/>
    <mergeCell ref="B95:B96"/>
    <mergeCell ref="C95:C96"/>
    <mergeCell ref="D95:D96"/>
    <mergeCell ref="B97:C98"/>
    <mergeCell ref="D97:D98"/>
    <mergeCell ref="B99:B100"/>
    <mergeCell ref="B88:B89"/>
    <mergeCell ref="C88:C89"/>
    <mergeCell ref="D88:D89"/>
    <mergeCell ref="B90:C91"/>
    <mergeCell ref="D90:D91"/>
    <mergeCell ref="B92:B93"/>
    <mergeCell ref="B109:B110"/>
    <mergeCell ref="C109:C110"/>
    <mergeCell ref="D109:D110"/>
    <mergeCell ref="B111:C112"/>
    <mergeCell ref="D111:D112"/>
    <mergeCell ref="B113:B114"/>
    <mergeCell ref="B102:B103"/>
    <mergeCell ref="C102:C103"/>
    <mergeCell ref="D102:D103"/>
    <mergeCell ref="B104:C105"/>
    <mergeCell ref="D104:D105"/>
    <mergeCell ref="B106:B107"/>
    <mergeCell ref="B123:B124"/>
    <mergeCell ref="C123:C124"/>
    <mergeCell ref="D123:D124"/>
    <mergeCell ref="B125:C126"/>
    <mergeCell ref="D125:D126"/>
    <mergeCell ref="B127:B128"/>
    <mergeCell ref="B116:B117"/>
    <mergeCell ref="C116:C117"/>
    <mergeCell ref="D116:D117"/>
    <mergeCell ref="B118:C119"/>
    <mergeCell ref="D118:D119"/>
    <mergeCell ref="B120:B121"/>
    <mergeCell ref="H144:I144"/>
    <mergeCell ref="B137:B138"/>
    <mergeCell ref="C137:C138"/>
    <mergeCell ref="D137:D138"/>
    <mergeCell ref="B139:C140"/>
    <mergeCell ref="D139:D140"/>
    <mergeCell ref="B141:B142"/>
    <mergeCell ref="B130:B131"/>
    <mergeCell ref="C130:C131"/>
    <mergeCell ref="D130:D131"/>
    <mergeCell ref="B132:C133"/>
    <mergeCell ref="D132:D133"/>
    <mergeCell ref="B134:B135"/>
  </mergeCells>
  <conditionalFormatting sqref="F36">
    <cfRule type="cellIs" dxfId="310" priority="459" operator="equal">
      <formula>3</formula>
    </cfRule>
    <cfRule type="cellIs" dxfId="309" priority="461" operator="equal">
      <formula>1</formula>
    </cfRule>
    <cfRule type="cellIs" dxfId="308" priority="462" operator="equal">
      <formula>2</formula>
    </cfRule>
    <cfRule type="cellIs" dxfId="307" priority="463" operator="equal">
      <formula>4</formula>
    </cfRule>
    <cfRule type="colorScale" priority="464">
      <colorScale>
        <cfvo type="num" val="1"/>
        <cfvo type="num" val="2.2999999999999998"/>
        <cfvo type="num" val="4"/>
        <color rgb="FFFF9966"/>
        <color rgb="FFFFEB84"/>
        <color theme="8" tint="-0.249977111117893"/>
      </colorScale>
    </cfRule>
  </conditionalFormatting>
  <conditionalFormatting sqref="F36">
    <cfRule type="cellIs" dxfId="306" priority="460" operator="equal">
      <formula>0</formula>
    </cfRule>
  </conditionalFormatting>
  <conditionalFormatting sqref="F36:L36">
    <cfRule type="cellIs" dxfId="305" priority="453" operator="equal">
      <formula>3</formula>
    </cfRule>
    <cfRule type="cellIs" dxfId="304" priority="455" operator="equal">
      <formula>1</formula>
    </cfRule>
    <cfRule type="cellIs" dxfId="303" priority="456" operator="equal">
      <formula>2</formula>
    </cfRule>
    <cfRule type="cellIs" dxfId="302" priority="457" operator="equal">
      <formula>4</formula>
    </cfRule>
    <cfRule type="colorScale" priority="458">
      <colorScale>
        <cfvo type="num" val="1"/>
        <cfvo type="num" val="2.2999999999999998"/>
        <cfvo type="num" val="4"/>
        <color rgb="FFFF9966"/>
        <color rgb="FFFFEB84"/>
        <color theme="8" tint="-0.249977111117893"/>
      </colorScale>
    </cfRule>
  </conditionalFormatting>
  <conditionalFormatting sqref="F36:L36">
    <cfRule type="cellIs" dxfId="301" priority="454" operator="equal">
      <formula>0</formula>
    </cfRule>
  </conditionalFormatting>
  <conditionalFormatting sqref="B41">
    <cfRule type="duplicateValues" dxfId="300" priority="448"/>
  </conditionalFormatting>
  <conditionalFormatting sqref="F43">
    <cfRule type="cellIs" dxfId="299" priority="442" operator="equal">
      <formula>3</formula>
    </cfRule>
    <cfRule type="cellIs" dxfId="298" priority="444" operator="equal">
      <formula>1</formula>
    </cfRule>
    <cfRule type="cellIs" dxfId="297" priority="445" operator="equal">
      <formula>2</formula>
    </cfRule>
    <cfRule type="cellIs" dxfId="296" priority="446" operator="equal">
      <formula>4</formula>
    </cfRule>
    <cfRule type="colorScale" priority="447">
      <colorScale>
        <cfvo type="num" val="1"/>
        <cfvo type="num" val="2.2999999999999998"/>
        <cfvo type="num" val="4"/>
        <color rgb="FFFF9966"/>
        <color rgb="FFFFEB84"/>
        <color theme="8" tint="-0.249977111117893"/>
      </colorScale>
    </cfRule>
  </conditionalFormatting>
  <conditionalFormatting sqref="F43">
    <cfRule type="cellIs" dxfId="295" priority="443" operator="equal">
      <formula>0</formula>
    </cfRule>
  </conditionalFormatting>
  <conditionalFormatting sqref="F43:L43">
    <cfRule type="cellIs" dxfId="294" priority="436" operator="equal">
      <formula>3</formula>
    </cfRule>
    <cfRule type="cellIs" dxfId="293" priority="438" operator="equal">
      <formula>1</formula>
    </cfRule>
    <cfRule type="cellIs" dxfId="292" priority="439" operator="equal">
      <formula>2</formula>
    </cfRule>
    <cfRule type="cellIs" dxfId="291" priority="440" operator="equal">
      <formula>4</formula>
    </cfRule>
    <cfRule type="colorScale" priority="441">
      <colorScale>
        <cfvo type="num" val="1"/>
        <cfvo type="num" val="2.2999999999999998"/>
        <cfvo type="num" val="4"/>
        <color rgb="FFFF9966"/>
        <color rgb="FFFFEB84"/>
        <color theme="8" tint="-0.249977111117893"/>
      </colorScale>
    </cfRule>
  </conditionalFormatting>
  <conditionalFormatting sqref="F43:L43">
    <cfRule type="cellIs" dxfId="290" priority="437" operator="equal">
      <formula>0</formula>
    </cfRule>
  </conditionalFormatting>
  <conditionalFormatting sqref="B48">
    <cfRule type="duplicateValues" dxfId="289" priority="431"/>
  </conditionalFormatting>
  <conditionalFormatting sqref="F50">
    <cfRule type="cellIs" dxfId="288" priority="425" operator="equal">
      <formula>3</formula>
    </cfRule>
    <cfRule type="cellIs" dxfId="287" priority="427" operator="equal">
      <formula>1</formula>
    </cfRule>
    <cfRule type="cellIs" dxfId="286" priority="428" operator="equal">
      <formula>2</formula>
    </cfRule>
    <cfRule type="cellIs" dxfId="285" priority="429" operator="equal">
      <formula>4</formula>
    </cfRule>
    <cfRule type="colorScale" priority="430">
      <colorScale>
        <cfvo type="num" val="1"/>
        <cfvo type="num" val="2.2999999999999998"/>
        <cfvo type="num" val="4"/>
        <color rgb="FFFF9966"/>
        <color rgb="FFFFEB84"/>
        <color theme="8" tint="-0.249977111117893"/>
      </colorScale>
    </cfRule>
  </conditionalFormatting>
  <conditionalFormatting sqref="F50">
    <cfRule type="cellIs" dxfId="284" priority="426" operator="equal">
      <formula>0</formula>
    </cfRule>
  </conditionalFormatting>
  <conditionalFormatting sqref="F50:L50">
    <cfRule type="cellIs" dxfId="283" priority="419" operator="equal">
      <formula>3</formula>
    </cfRule>
    <cfRule type="cellIs" dxfId="282" priority="421" operator="equal">
      <formula>1</formula>
    </cfRule>
    <cfRule type="cellIs" dxfId="281" priority="422" operator="equal">
      <formula>2</formula>
    </cfRule>
    <cfRule type="cellIs" dxfId="280" priority="423" operator="equal">
      <formula>4</formula>
    </cfRule>
    <cfRule type="colorScale" priority="424">
      <colorScale>
        <cfvo type="num" val="1"/>
        <cfvo type="num" val="2.2999999999999998"/>
        <cfvo type="num" val="4"/>
        <color rgb="FFFF9966"/>
        <color rgb="FFFFEB84"/>
        <color theme="8" tint="-0.249977111117893"/>
      </colorScale>
    </cfRule>
  </conditionalFormatting>
  <conditionalFormatting sqref="F50:L50">
    <cfRule type="cellIs" dxfId="279" priority="420" operator="equal">
      <formula>0</formula>
    </cfRule>
  </conditionalFormatting>
  <conditionalFormatting sqref="F78">
    <cfRule type="cellIs" dxfId="278" priority="357" operator="equal">
      <formula>3</formula>
    </cfRule>
    <cfRule type="cellIs" dxfId="277" priority="359" operator="equal">
      <formula>1</formula>
    </cfRule>
    <cfRule type="cellIs" dxfId="276" priority="360" operator="equal">
      <formula>2</formula>
    </cfRule>
    <cfRule type="cellIs" dxfId="275" priority="361" operator="equal">
      <formula>4</formula>
    </cfRule>
    <cfRule type="colorScale" priority="362">
      <colorScale>
        <cfvo type="num" val="1"/>
        <cfvo type="num" val="2.2999999999999998"/>
        <cfvo type="num" val="4"/>
        <color rgb="FFFF9966"/>
        <color rgb="FFFFEB84"/>
        <color theme="8" tint="-0.249977111117893"/>
      </colorScale>
    </cfRule>
  </conditionalFormatting>
  <conditionalFormatting sqref="F78">
    <cfRule type="cellIs" dxfId="274" priority="358" operator="equal">
      <formula>0</formula>
    </cfRule>
  </conditionalFormatting>
  <conditionalFormatting sqref="F78:L78">
    <cfRule type="cellIs" dxfId="273" priority="351" operator="equal">
      <formula>3</formula>
    </cfRule>
    <cfRule type="cellIs" dxfId="272" priority="353" operator="equal">
      <formula>1</formula>
    </cfRule>
    <cfRule type="cellIs" dxfId="271" priority="354" operator="equal">
      <formula>2</formula>
    </cfRule>
    <cfRule type="cellIs" dxfId="270" priority="355" operator="equal">
      <formula>4</formula>
    </cfRule>
    <cfRule type="colorScale" priority="356">
      <colorScale>
        <cfvo type="num" val="1"/>
        <cfvo type="num" val="2.2999999999999998"/>
        <cfvo type="num" val="4"/>
        <color rgb="FFFF9966"/>
        <color rgb="FFFFEB84"/>
        <color theme="8" tint="-0.249977111117893"/>
      </colorScale>
    </cfRule>
  </conditionalFormatting>
  <conditionalFormatting sqref="F78:L78">
    <cfRule type="cellIs" dxfId="269" priority="352" operator="equal">
      <formula>0</formula>
    </cfRule>
  </conditionalFormatting>
  <conditionalFormatting sqref="B55">
    <cfRule type="duplicateValues" dxfId="268" priority="414"/>
  </conditionalFormatting>
  <conditionalFormatting sqref="F57">
    <cfRule type="cellIs" dxfId="267" priority="408" operator="equal">
      <formula>3</formula>
    </cfRule>
    <cfRule type="cellIs" dxfId="266" priority="410" operator="equal">
      <formula>1</formula>
    </cfRule>
    <cfRule type="cellIs" dxfId="265" priority="411" operator="equal">
      <formula>2</formula>
    </cfRule>
    <cfRule type="cellIs" dxfId="264" priority="412" operator="equal">
      <formula>4</formula>
    </cfRule>
    <cfRule type="colorScale" priority="413">
      <colorScale>
        <cfvo type="num" val="1"/>
        <cfvo type="num" val="2.2999999999999998"/>
        <cfvo type="num" val="4"/>
        <color rgb="FFFF9966"/>
        <color rgb="FFFFEB84"/>
        <color theme="8" tint="-0.249977111117893"/>
      </colorScale>
    </cfRule>
  </conditionalFormatting>
  <conditionalFormatting sqref="F57">
    <cfRule type="cellIs" dxfId="263" priority="409" operator="equal">
      <formula>0</formula>
    </cfRule>
  </conditionalFormatting>
  <conditionalFormatting sqref="F57:L57">
    <cfRule type="cellIs" dxfId="262" priority="402" operator="equal">
      <formula>3</formula>
    </cfRule>
    <cfRule type="cellIs" dxfId="261" priority="404" operator="equal">
      <formula>1</formula>
    </cfRule>
    <cfRule type="cellIs" dxfId="260" priority="405" operator="equal">
      <formula>2</formula>
    </cfRule>
    <cfRule type="cellIs" dxfId="259" priority="406" operator="equal">
      <formula>4</formula>
    </cfRule>
    <cfRule type="colorScale" priority="407">
      <colorScale>
        <cfvo type="num" val="1"/>
        <cfvo type="num" val="2.2999999999999998"/>
        <cfvo type="num" val="4"/>
        <color rgb="FFFF9966"/>
        <color rgb="FFFFEB84"/>
        <color theme="8" tint="-0.249977111117893"/>
      </colorScale>
    </cfRule>
  </conditionalFormatting>
  <conditionalFormatting sqref="F57:L57">
    <cfRule type="cellIs" dxfId="258" priority="403" operator="equal">
      <formula>0</formula>
    </cfRule>
  </conditionalFormatting>
  <conditionalFormatting sqref="B62">
    <cfRule type="duplicateValues" dxfId="257" priority="397"/>
  </conditionalFormatting>
  <conditionalFormatting sqref="F64">
    <cfRule type="cellIs" dxfId="256" priority="391" operator="equal">
      <formula>3</formula>
    </cfRule>
    <cfRule type="cellIs" dxfId="255" priority="393" operator="equal">
      <formula>1</formula>
    </cfRule>
    <cfRule type="cellIs" dxfId="254" priority="394" operator="equal">
      <formula>2</formula>
    </cfRule>
    <cfRule type="cellIs" dxfId="253" priority="395" operator="equal">
      <formula>4</formula>
    </cfRule>
    <cfRule type="colorScale" priority="396">
      <colorScale>
        <cfvo type="num" val="1"/>
        <cfvo type="num" val="2.2999999999999998"/>
        <cfvo type="num" val="4"/>
        <color rgb="FFFF9966"/>
        <color rgb="FFFFEB84"/>
        <color theme="8" tint="-0.249977111117893"/>
      </colorScale>
    </cfRule>
  </conditionalFormatting>
  <conditionalFormatting sqref="F64">
    <cfRule type="cellIs" dxfId="252" priority="392" operator="equal">
      <formula>0</formula>
    </cfRule>
  </conditionalFormatting>
  <conditionalFormatting sqref="F64:L64">
    <cfRule type="cellIs" dxfId="251" priority="385" operator="equal">
      <formula>3</formula>
    </cfRule>
    <cfRule type="cellIs" dxfId="250" priority="387" operator="equal">
      <formula>1</formula>
    </cfRule>
    <cfRule type="cellIs" dxfId="249" priority="388" operator="equal">
      <formula>2</formula>
    </cfRule>
    <cfRule type="cellIs" dxfId="248" priority="389" operator="equal">
      <formula>4</formula>
    </cfRule>
    <cfRule type="colorScale" priority="390">
      <colorScale>
        <cfvo type="num" val="1"/>
        <cfvo type="num" val="2.2999999999999998"/>
        <cfvo type="num" val="4"/>
        <color rgb="FFFF9966"/>
        <color rgb="FFFFEB84"/>
        <color theme="8" tint="-0.249977111117893"/>
      </colorScale>
    </cfRule>
  </conditionalFormatting>
  <conditionalFormatting sqref="F64:L64">
    <cfRule type="cellIs" dxfId="247" priority="386" operator="equal">
      <formula>0</formula>
    </cfRule>
  </conditionalFormatting>
  <conditionalFormatting sqref="B69">
    <cfRule type="duplicateValues" dxfId="246" priority="380"/>
  </conditionalFormatting>
  <conditionalFormatting sqref="F71">
    <cfRule type="cellIs" dxfId="245" priority="374" operator="equal">
      <formula>3</formula>
    </cfRule>
    <cfRule type="cellIs" dxfId="244" priority="376" operator="equal">
      <formula>1</formula>
    </cfRule>
    <cfRule type="cellIs" dxfId="243" priority="377" operator="equal">
      <formula>2</formula>
    </cfRule>
    <cfRule type="cellIs" dxfId="242" priority="378" operator="equal">
      <formula>4</formula>
    </cfRule>
    <cfRule type="colorScale" priority="379">
      <colorScale>
        <cfvo type="num" val="1"/>
        <cfvo type="num" val="2.2999999999999998"/>
        <cfvo type="num" val="4"/>
        <color rgb="FFFF9966"/>
        <color rgb="FFFFEB84"/>
        <color theme="8" tint="-0.249977111117893"/>
      </colorScale>
    </cfRule>
  </conditionalFormatting>
  <conditionalFormatting sqref="F71">
    <cfRule type="cellIs" dxfId="241" priority="375" operator="equal">
      <formula>0</formula>
    </cfRule>
  </conditionalFormatting>
  <conditionalFormatting sqref="F71:L71">
    <cfRule type="cellIs" dxfId="240" priority="368" operator="equal">
      <formula>3</formula>
    </cfRule>
    <cfRule type="cellIs" dxfId="239" priority="370" operator="equal">
      <formula>1</formula>
    </cfRule>
    <cfRule type="cellIs" dxfId="238" priority="371" operator="equal">
      <formula>2</formula>
    </cfRule>
    <cfRule type="cellIs" dxfId="237" priority="372" operator="equal">
      <formula>4</formula>
    </cfRule>
    <cfRule type="colorScale" priority="373">
      <colorScale>
        <cfvo type="num" val="1"/>
        <cfvo type="num" val="2.2999999999999998"/>
        <cfvo type="num" val="4"/>
        <color rgb="FFFF9966"/>
        <color rgb="FFFFEB84"/>
        <color theme="8" tint="-0.249977111117893"/>
      </colorScale>
    </cfRule>
  </conditionalFormatting>
  <conditionalFormatting sqref="F71:L71">
    <cfRule type="cellIs" dxfId="236" priority="369" operator="equal">
      <formula>0</formula>
    </cfRule>
  </conditionalFormatting>
  <conditionalFormatting sqref="B76">
    <cfRule type="duplicateValues" dxfId="235" priority="363"/>
  </conditionalFormatting>
  <conditionalFormatting sqref="F85">
    <cfRule type="cellIs" dxfId="234" priority="340" operator="equal">
      <formula>3</formula>
    </cfRule>
    <cfRule type="cellIs" dxfId="233" priority="342" operator="equal">
      <formula>1</formula>
    </cfRule>
    <cfRule type="cellIs" dxfId="232" priority="343" operator="equal">
      <formula>2</formula>
    </cfRule>
    <cfRule type="cellIs" dxfId="231" priority="344" operator="equal">
      <formula>4</formula>
    </cfRule>
    <cfRule type="colorScale" priority="345">
      <colorScale>
        <cfvo type="num" val="1"/>
        <cfvo type="num" val="2.2999999999999998"/>
        <cfvo type="num" val="4"/>
        <color rgb="FFFF9966"/>
        <color rgb="FFFFEB84"/>
        <color theme="8" tint="-0.249977111117893"/>
      </colorScale>
    </cfRule>
  </conditionalFormatting>
  <conditionalFormatting sqref="F85">
    <cfRule type="cellIs" dxfId="230" priority="341" operator="equal">
      <formula>0</formula>
    </cfRule>
  </conditionalFormatting>
  <conditionalFormatting sqref="F85:L85">
    <cfRule type="cellIs" dxfId="229" priority="334" operator="equal">
      <formula>3</formula>
    </cfRule>
    <cfRule type="cellIs" dxfId="228" priority="336" operator="equal">
      <formula>1</formula>
    </cfRule>
    <cfRule type="cellIs" dxfId="227" priority="337" operator="equal">
      <formula>2</formula>
    </cfRule>
    <cfRule type="cellIs" dxfId="226" priority="338" operator="equal">
      <formula>4</formula>
    </cfRule>
    <cfRule type="colorScale" priority="339">
      <colorScale>
        <cfvo type="num" val="1"/>
        <cfvo type="num" val="2.2999999999999998"/>
        <cfvo type="num" val="4"/>
        <color rgb="FFFF9966"/>
        <color rgb="FFFFEB84"/>
        <color theme="8" tint="-0.249977111117893"/>
      </colorScale>
    </cfRule>
  </conditionalFormatting>
  <conditionalFormatting sqref="F85:L85">
    <cfRule type="cellIs" dxfId="225" priority="335" operator="equal">
      <formula>0</formula>
    </cfRule>
  </conditionalFormatting>
  <conditionalFormatting sqref="B83">
    <cfRule type="duplicateValues" dxfId="224" priority="346"/>
  </conditionalFormatting>
  <conditionalFormatting sqref="F92">
    <cfRule type="cellIs" dxfId="223" priority="323" operator="equal">
      <formula>3</formula>
    </cfRule>
    <cfRule type="cellIs" dxfId="222" priority="325" operator="equal">
      <formula>1</formula>
    </cfRule>
    <cfRule type="cellIs" dxfId="221" priority="326" operator="equal">
      <formula>2</formula>
    </cfRule>
    <cfRule type="cellIs" dxfId="220" priority="327" operator="equal">
      <formula>4</formula>
    </cfRule>
    <cfRule type="colorScale" priority="328">
      <colorScale>
        <cfvo type="num" val="1"/>
        <cfvo type="num" val="2.2999999999999998"/>
        <cfvo type="num" val="4"/>
        <color rgb="FFFF9966"/>
        <color rgb="FFFFEB84"/>
        <color theme="8" tint="-0.249977111117893"/>
      </colorScale>
    </cfRule>
  </conditionalFormatting>
  <conditionalFormatting sqref="F92">
    <cfRule type="cellIs" dxfId="219" priority="324" operator="equal">
      <formula>0</formula>
    </cfRule>
  </conditionalFormatting>
  <conditionalFormatting sqref="F92:L92">
    <cfRule type="cellIs" dxfId="218" priority="317" operator="equal">
      <formula>3</formula>
    </cfRule>
    <cfRule type="cellIs" dxfId="217" priority="319" operator="equal">
      <formula>1</formula>
    </cfRule>
    <cfRule type="cellIs" dxfId="216" priority="320" operator="equal">
      <formula>2</formula>
    </cfRule>
    <cfRule type="cellIs" dxfId="215" priority="321" operator="equal">
      <formula>4</formula>
    </cfRule>
    <cfRule type="colorScale" priority="322">
      <colorScale>
        <cfvo type="num" val="1"/>
        <cfvo type="num" val="2.2999999999999998"/>
        <cfvo type="num" val="4"/>
        <color rgb="FFFF9966"/>
        <color rgb="FFFFEB84"/>
        <color theme="8" tint="-0.249977111117893"/>
      </colorScale>
    </cfRule>
  </conditionalFormatting>
  <conditionalFormatting sqref="F92:L92">
    <cfRule type="cellIs" dxfId="214" priority="318" operator="equal">
      <formula>0</formula>
    </cfRule>
  </conditionalFormatting>
  <conditionalFormatting sqref="B90">
    <cfRule type="duplicateValues" dxfId="213" priority="329"/>
  </conditionalFormatting>
  <conditionalFormatting sqref="F99">
    <cfRule type="cellIs" dxfId="212" priority="306" operator="equal">
      <formula>3</formula>
    </cfRule>
    <cfRule type="cellIs" dxfId="211" priority="308" operator="equal">
      <formula>1</formula>
    </cfRule>
    <cfRule type="cellIs" dxfId="210" priority="309" operator="equal">
      <formula>2</formula>
    </cfRule>
    <cfRule type="cellIs" dxfId="209" priority="310" operator="equal">
      <formula>4</formula>
    </cfRule>
    <cfRule type="colorScale" priority="311">
      <colorScale>
        <cfvo type="num" val="1"/>
        <cfvo type="num" val="2.2999999999999998"/>
        <cfvo type="num" val="4"/>
        <color rgb="FFFF9966"/>
        <color rgb="FFFFEB84"/>
        <color theme="8" tint="-0.249977111117893"/>
      </colorScale>
    </cfRule>
  </conditionalFormatting>
  <conditionalFormatting sqref="F99">
    <cfRule type="cellIs" dxfId="208" priority="307" operator="equal">
      <formula>0</formula>
    </cfRule>
  </conditionalFormatting>
  <conditionalFormatting sqref="F99:L99">
    <cfRule type="cellIs" dxfId="207" priority="300" operator="equal">
      <formula>3</formula>
    </cfRule>
    <cfRule type="cellIs" dxfId="206" priority="302" operator="equal">
      <formula>1</formula>
    </cfRule>
    <cfRule type="cellIs" dxfId="205" priority="303" operator="equal">
      <formula>2</formula>
    </cfRule>
    <cfRule type="cellIs" dxfId="204" priority="304" operator="equal">
      <formula>4</formula>
    </cfRule>
    <cfRule type="colorScale" priority="305">
      <colorScale>
        <cfvo type="num" val="1"/>
        <cfvo type="num" val="2.2999999999999998"/>
        <cfvo type="num" val="4"/>
        <color rgb="FFFF9966"/>
        <color rgb="FFFFEB84"/>
        <color theme="8" tint="-0.249977111117893"/>
      </colorScale>
    </cfRule>
  </conditionalFormatting>
  <conditionalFormatting sqref="F99:L99">
    <cfRule type="cellIs" dxfId="203" priority="301" operator="equal">
      <formula>0</formula>
    </cfRule>
  </conditionalFormatting>
  <conditionalFormatting sqref="B97">
    <cfRule type="duplicateValues" dxfId="202" priority="312"/>
  </conditionalFormatting>
  <conditionalFormatting sqref="F106">
    <cfRule type="cellIs" dxfId="201" priority="289" operator="equal">
      <formula>3</formula>
    </cfRule>
    <cfRule type="cellIs" dxfId="200" priority="291" operator="equal">
      <formula>1</formula>
    </cfRule>
    <cfRule type="cellIs" dxfId="199" priority="292" operator="equal">
      <formula>2</formula>
    </cfRule>
    <cfRule type="cellIs" dxfId="198" priority="293" operator="equal">
      <formula>4</formula>
    </cfRule>
    <cfRule type="colorScale" priority="294">
      <colorScale>
        <cfvo type="num" val="1"/>
        <cfvo type="num" val="2.2999999999999998"/>
        <cfvo type="num" val="4"/>
        <color rgb="FFFF9966"/>
        <color rgb="FFFFEB84"/>
        <color theme="8" tint="-0.249977111117893"/>
      </colorScale>
    </cfRule>
  </conditionalFormatting>
  <conditionalFormatting sqref="F106">
    <cfRule type="cellIs" dxfId="197" priority="290" operator="equal">
      <formula>0</formula>
    </cfRule>
  </conditionalFormatting>
  <conditionalFormatting sqref="F106:L106">
    <cfRule type="cellIs" dxfId="196" priority="283" operator="equal">
      <formula>3</formula>
    </cfRule>
    <cfRule type="cellIs" dxfId="195" priority="285" operator="equal">
      <formula>1</formula>
    </cfRule>
    <cfRule type="cellIs" dxfId="194" priority="286" operator="equal">
      <formula>2</formula>
    </cfRule>
    <cfRule type="cellIs" dxfId="193" priority="287" operator="equal">
      <formula>4</formula>
    </cfRule>
    <cfRule type="colorScale" priority="288">
      <colorScale>
        <cfvo type="num" val="1"/>
        <cfvo type="num" val="2.2999999999999998"/>
        <cfvo type="num" val="4"/>
        <color rgb="FFFF9966"/>
        <color rgb="FFFFEB84"/>
        <color theme="8" tint="-0.249977111117893"/>
      </colorScale>
    </cfRule>
  </conditionalFormatting>
  <conditionalFormatting sqref="F106:L106">
    <cfRule type="cellIs" dxfId="192" priority="284" operator="equal">
      <formula>0</formula>
    </cfRule>
  </conditionalFormatting>
  <conditionalFormatting sqref="B104">
    <cfRule type="duplicateValues" dxfId="191" priority="295"/>
  </conditionalFormatting>
  <conditionalFormatting sqref="F113">
    <cfRule type="cellIs" dxfId="190" priority="272" operator="equal">
      <formula>3</formula>
    </cfRule>
    <cfRule type="cellIs" dxfId="189" priority="274" operator="equal">
      <formula>1</formula>
    </cfRule>
    <cfRule type="cellIs" dxfId="188" priority="275" operator="equal">
      <formula>2</formula>
    </cfRule>
    <cfRule type="cellIs" dxfId="187" priority="276" operator="equal">
      <formula>4</formula>
    </cfRule>
    <cfRule type="colorScale" priority="277">
      <colorScale>
        <cfvo type="num" val="1"/>
        <cfvo type="num" val="2.2999999999999998"/>
        <cfvo type="num" val="4"/>
        <color rgb="FFFF9966"/>
        <color rgb="FFFFEB84"/>
        <color theme="8" tint="-0.249977111117893"/>
      </colorScale>
    </cfRule>
  </conditionalFormatting>
  <conditionalFormatting sqref="F113">
    <cfRule type="cellIs" dxfId="186" priority="273" operator="equal">
      <formula>0</formula>
    </cfRule>
  </conditionalFormatting>
  <conditionalFormatting sqref="F113:L113">
    <cfRule type="cellIs" dxfId="185" priority="266" operator="equal">
      <formula>3</formula>
    </cfRule>
    <cfRule type="cellIs" dxfId="184" priority="268" operator="equal">
      <formula>1</formula>
    </cfRule>
    <cfRule type="cellIs" dxfId="183" priority="269" operator="equal">
      <formula>2</formula>
    </cfRule>
    <cfRule type="cellIs" dxfId="182" priority="270" operator="equal">
      <formula>4</formula>
    </cfRule>
    <cfRule type="colorScale" priority="271">
      <colorScale>
        <cfvo type="num" val="1"/>
        <cfvo type="num" val="2.2999999999999998"/>
        <cfvo type="num" val="4"/>
        <color rgb="FFFF9966"/>
        <color rgb="FFFFEB84"/>
        <color theme="8" tint="-0.249977111117893"/>
      </colorScale>
    </cfRule>
  </conditionalFormatting>
  <conditionalFormatting sqref="F113:L113">
    <cfRule type="cellIs" dxfId="181" priority="267" operator="equal">
      <formula>0</formula>
    </cfRule>
  </conditionalFormatting>
  <conditionalFormatting sqref="B111">
    <cfRule type="duplicateValues" dxfId="180" priority="278"/>
  </conditionalFormatting>
  <conditionalFormatting sqref="F120">
    <cfRule type="cellIs" dxfId="179" priority="255" operator="equal">
      <formula>3</formula>
    </cfRule>
    <cfRule type="cellIs" dxfId="178" priority="257" operator="equal">
      <formula>1</formula>
    </cfRule>
    <cfRule type="cellIs" dxfId="177" priority="258" operator="equal">
      <formula>2</formula>
    </cfRule>
    <cfRule type="cellIs" dxfId="176" priority="259" operator="equal">
      <formula>4</formula>
    </cfRule>
    <cfRule type="colorScale" priority="260">
      <colorScale>
        <cfvo type="num" val="1"/>
        <cfvo type="num" val="2.2999999999999998"/>
        <cfvo type="num" val="4"/>
        <color rgb="FFFF9966"/>
        <color rgb="FFFFEB84"/>
        <color theme="8" tint="-0.249977111117893"/>
      </colorScale>
    </cfRule>
  </conditionalFormatting>
  <conditionalFormatting sqref="F120">
    <cfRule type="cellIs" dxfId="175" priority="256" operator="equal">
      <formula>0</formula>
    </cfRule>
  </conditionalFormatting>
  <conditionalFormatting sqref="F120:L120">
    <cfRule type="cellIs" dxfId="174" priority="249" operator="equal">
      <formula>3</formula>
    </cfRule>
    <cfRule type="cellIs" dxfId="173" priority="251" operator="equal">
      <formula>1</formula>
    </cfRule>
    <cfRule type="cellIs" dxfId="172" priority="252" operator="equal">
      <formula>2</formula>
    </cfRule>
    <cfRule type="cellIs" dxfId="171" priority="253" operator="equal">
      <formula>4</formula>
    </cfRule>
    <cfRule type="colorScale" priority="254">
      <colorScale>
        <cfvo type="num" val="1"/>
        <cfvo type="num" val="2.2999999999999998"/>
        <cfvo type="num" val="4"/>
        <color rgb="FFFF9966"/>
        <color rgb="FFFFEB84"/>
        <color theme="8" tint="-0.249977111117893"/>
      </colorScale>
    </cfRule>
  </conditionalFormatting>
  <conditionalFormatting sqref="F120:L120">
    <cfRule type="cellIs" dxfId="170" priority="250" operator="equal">
      <formula>0</formula>
    </cfRule>
  </conditionalFormatting>
  <conditionalFormatting sqref="B118">
    <cfRule type="duplicateValues" dxfId="169" priority="261"/>
  </conditionalFormatting>
  <conditionalFormatting sqref="F127">
    <cfRule type="cellIs" dxfId="168" priority="238" operator="equal">
      <formula>3</formula>
    </cfRule>
    <cfRule type="cellIs" dxfId="167" priority="240" operator="equal">
      <formula>1</formula>
    </cfRule>
    <cfRule type="cellIs" dxfId="166" priority="241" operator="equal">
      <formula>2</formula>
    </cfRule>
    <cfRule type="cellIs" dxfId="165" priority="242" operator="equal">
      <formula>4</formula>
    </cfRule>
    <cfRule type="colorScale" priority="243">
      <colorScale>
        <cfvo type="num" val="1"/>
        <cfvo type="num" val="2.2999999999999998"/>
        <cfvo type="num" val="4"/>
        <color rgb="FFFF9966"/>
        <color rgb="FFFFEB84"/>
        <color theme="8" tint="-0.249977111117893"/>
      </colorScale>
    </cfRule>
  </conditionalFormatting>
  <conditionalFormatting sqref="F127">
    <cfRule type="cellIs" dxfId="164" priority="239" operator="equal">
      <formula>0</formula>
    </cfRule>
  </conditionalFormatting>
  <conditionalFormatting sqref="F127:L127">
    <cfRule type="cellIs" dxfId="163" priority="232" operator="equal">
      <formula>3</formula>
    </cfRule>
    <cfRule type="cellIs" dxfId="162" priority="234" operator="equal">
      <formula>1</formula>
    </cfRule>
    <cfRule type="cellIs" dxfId="161" priority="235" operator="equal">
      <formula>2</formula>
    </cfRule>
    <cfRule type="cellIs" dxfId="160" priority="236" operator="equal">
      <formula>4</formula>
    </cfRule>
    <cfRule type="colorScale" priority="237">
      <colorScale>
        <cfvo type="num" val="1"/>
        <cfvo type="num" val="2.2999999999999998"/>
        <cfvo type="num" val="4"/>
        <color rgb="FFFF9966"/>
        <color rgb="FFFFEB84"/>
        <color theme="8" tint="-0.249977111117893"/>
      </colorScale>
    </cfRule>
  </conditionalFormatting>
  <conditionalFormatting sqref="F127:L127">
    <cfRule type="cellIs" dxfId="159" priority="233" operator="equal">
      <formula>0</formula>
    </cfRule>
  </conditionalFormatting>
  <conditionalFormatting sqref="B125">
    <cfRule type="duplicateValues" dxfId="158" priority="244"/>
  </conditionalFormatting>
  <conditionalFormatting sqref="F134">
    <cfRule type="cellIs" dxfId="157" priority="221" operator="equal">
      <formula>3</formula>
    </cfRule>
    <cfRule type="cellIs" dxfId="156" priority="223" operator="equal">
      <formula>1</formula>
    </cfRule>
    <cfRule type="cellIs" dxfId="155" priority="224" operator="equal">
      <formula>2</formula>
    </cfRule>
    <cfRule type="cellIs" dxfId="154" priority="225" operator="equal">
      <formula>4</formula>
    </cfRule>
    <cfRule type="colorScale" priority="226">
      <colorScale>
        <cfvo type="num" val="1"/>
        <cfvo type="num" val="2.2999999999999998"/>
        <cfvo type="num" val="4"/>
        <color rgb="FFFF9966"/>
        <color rgb="FFFFEB84"/>
        <color theme="8" tint="-0.249977111117893"/>
      </colorScale>
    </cfRule>
  </conditionalFormatting>
  <conditionalFormatting sqref="F134">
    <cfRule type="cellIs" dxfId="153" priority="222" operator="equal">
      <formula>0</formula>
    </cfRule>
  </conditionalFormatting>
  <conditionalFormatting sqref="F134:L134">
    <cfRule type="cellIs" dxfId="152" priority="215" operator="equal">
      <formula>3</formula>
    </cfRule>
    <cfRule type="cellIs" dxfId="151" priority="217" operator="equal">
      <formula>1</formula>
    </cfRule>
    <cfRule type="cellIs" dxfId="150" priority="218" operator="equal">
      <formula>2</formula>
    </cfRule>
    <cfRule type="cellIs" dxfId="149" priority="219" operator="equal">
      <formula>4</formula>
    </cfRule>
    <cfRule type="colorScale" priority="220">
      <colorScale>
        <cfvo type="num" val="1"/>
        <cfvo type="num" val="2.2999999999999998"/>
        <cfvo type="num" val="4"/>
        <color rgb="FFFF9966"/>
        <color rgb="FFFFEB84"/>
        <color theme="8" tint="-0.249977111117893"/>
      </colorScale>
    </cfRule>
  </conditionalFormatting>
  <conditionalFormatting sqref="F134:L134">
    <cfRule type="cellIs" dxfId="148" priority="216" operator="equal">
      <formula>0</formula>
    </cfRule>
  </conditionalFormatting>
  <conditionalFormatting sqref="B132">
    <cfRule type="duplicateValues" dxfId="147" priority="227"/>
  </conditionalFormatting>
  <conditionalFormatting sqref="F141">
    <cfRule type="cellIs" dxfId="146" priority="205" operator="equal">
      <formula>3</formula>
    </cfRule>
    <cfRule type="cellIs" dxfId="145" priority="207" operator="equal">
      <formula>1</formula>
    </cfRule>
    <cfRule type="cellIs" dxfId="144" priority="208" operator="equal">
      <formula>2</formula>
    </cfRule>
    <cfRule type="cellIs" dxfId="143" priority="209" operator="equal">
      <formula>4</formula>
    </cfRule>
    <cfRule type="colorScale" priority="210">
      <colorScale>
        <cfvo type="num" val="1"/>
        <cfvo type="num" val="2.2999999999999998"/>
        <cfvo type="num" val="4"/>
        <color rgb="FFFF9966"/>
        <color rgb="FFFFEB84"/>
        <color theme="8" tint="-0.249977111117893"/>
      </colorScale>
    </cfRule>
  </conditionalFormatting>
  <conditionalFormatting sqref="F141">
    <cfRule type="cellIs" dxfId="142" priority="206" operator="equal">
      <formula>0</formula>
    </cfRule>
  </conditionalFormatting>
  <conditionalFormatting sqref="F141:L141">
    <cfRule type="cellIs" dxfId="141" priority="199" operator="equal">
      <formula>3</formula>
    </cfRule>
    <cfRule type="cellIs" dxfId="140" priority="201" operator="equal">
      <formula>1</formula>
    </cfRule>
    <cfRule type="cellIs" dxfId="139" priority="202" operator="equal">
      <formula>2</formula>
    </cfRule>
    <cfRule type="cellIs" dxfId="138" priority="203" operator="equal">
      <formula>4</formula>
    </cfRule>
    <cfRule type="colorScale" priority="204">
      <colorScale>
        <cfvo type="num" val="1"/>
        <cfvo type="num" val="2.2999999999999998"/>
        <cfvo type="num" val="4"/>
        <color rgb="FFFF9966"/>
        <color rgb="FFFFEB84"/>
        <color theme="8" tint="-0.249977111117893"/>
      </colorScale>
    </cfRule>
  </conditionalFormatting>
  <conditionalFormatting sqref="F141:L141">
    <cfRule type="cellIs" dxfId="137" priority="200" operator="equal">
      <formula>0</formula>
    </cfRule>
  </conditionalFormatting>
  <conditionalFormatting sqref="B139">
    <cfRule type="duplicateValues" dxfId="136" priority="196"/>
  </conditionalFormatting>
  <conditionalFormatting sqref="B139">
    <cfRule type="duplicateValues" dxfId="135" priority="195"/>
  </conditionalFormatting>
  <conditionalFormatting sqref="B34:C35 B41 B48 B55 B62 B69 B76 B83 B90 B97 B104 B111 B118 B125 B132 B139">
    <cfRule type="duplicateValues" dxfId="134" priority="194"/>
  </conditionalFormatting>
  <conditionalFormatting sqref="L9:L24">
    <cfRule type="duplicateValues" dxfId="133" priority="3655"/>
    <cfRule type="duplicateValues" dxfId="132" priority="3656"/>
  </conditionalFormatting>
  <conditionalFormatting sqref="L24">
    <cfRule type="duplicateValues" dxfId="131" priority="3657"/>
  </conditionalFormatting>
  <conditionalFormatting sqref="F9:F24">
    <cfRule type="duplicateValues" dxfId="130" priority="3658"/>
    <cfRule type="duplicateValues" dxfId="129" priority="3659"/>
  </conditionalFormatting>
  <conditionalFormatting sqref="F24">
    <cfRule type="duplicateValues" dxfId="128" priority="3660"/>
  </conditionalFormatting>
  <conditionalFormatting sqref="G9:G24">
    <cfRule type="duplicateValues" dxfId="127" priority="3661"/>
    <cfRule type="duplicateValues" dxfId="126" priority="3662"/>
  </conditionalFormatting>
  <conditionalFormatting sqref="G24">
    <cfRule type="duplicateValues" dxfId="125" priority="3663"/>
  </conditionalFormatting>
  <conditionalFormatting sqref="H9:H24">
    <cfRule type="duplicateValues" dxfId="124" priority="3664"/>
    <cfRule type="duplicateValues" dxfId="123" priority="3665"/>
  </conditionalFormatting>
  <conditionalFormatting sqref="H24">
    <cfRule type="duplicateValues" dxfId="122" priority="3666"/>
  </conditionalFormatting>
  <conditionalFormatting sqref="I9:I24">
    <cfRule type="duplicateValues" dxfId="121" priority="3667"/>
    <cfRule type="duplicateValues" dxfId="120" priority="3668"/>
  </conditionalFormatting>
  <conditionalFormatting sqref="I24">
    <cfRule type="duplicateValues" dxfId="119" priority="3669"/>
  </conditionalFormatting>
  <conditionalFormatting sqref="J9:J24">
    <cfRule type="duplicateValues" dxfId="118" priority="3670"/>
    <cfRule type="duplicateValues" dxfId="117" priority="3671"/>
  </conditionalFormatting>
  <conditionalFormatting sqref="J24">
    <cfRule type="duplicateValues" dxfId="116" priority="3672"/>
  </conditionalFormatting>
  <conditionalFormatting sqref="K9:K24">
    <cfRule type="duplicateValues" dxfId="115" priority="3673"/>
    <cfRule type="duplicateValues" dxfId="114" priority="3674"/>
  </conditionalFormatting>
  <conditionalFormatting sqref="K24">
    <cfRule type="duplicateValues" dxfId="113" priority="3675"/>
  </conditionalFormatting>
  <conditionalFormatting sqref="D43">
    <cfRule type="cellIs" dxfId="112" priority="185" operator="equal">
      <formula>0</formula>
    </cfRule>
    <cfRule type="colorScale" priority="186">
      <colorScale>
        <cfvo type="num" val="0.5"/>
        <cfvo type="num" val="0.8"/>
        <cfvo type="num" val="1"/>
        <color rgb="FFFFD4D1"/>
        <color rgb="FFFF9999"/>
        <color theme="8" tint="-0.249977111117893"/>
      </colorScale>
    </cfRule>
  </conditionalFormatting>
  <conditionalFormatting sqref="D50">
    <cfRule type="cellIs" dxfId="111" priority="183" operator="equal">
      <formula>0</formula>
    </cfRule>
    <cfRule type="colorScale" priority="184">
      <colorScale>
        <cfvo type="num" val="0.5"/>
        <cfvo type="num" val="0.8"/>
        <cfvo type="num" val="1"/>
        <color rgb="FFFFD4D1"/>
        <color rgb="FFFF9999"/>
        <color theme="8" tint="-0.249977111117893"/>
      </colorScale>
    </cfRule>
  </conditionalFormatting>
  <conditionalFormatting sqref="D57">
    <cfRule type="cellIs" dxfId="110" priority="181" operator="equal">
      <formula>0</formula>
    </cfRule>
    <cfRule type="colorScale" priority="182">
      <colorScale>
        <cfvo type="num" val="0.5"/>
        <cfvo type="num" val="0.8"/>
        <cfvo type="num" val="1"/>
        <color rgb="FFFFD4D1"/>
        <color rgb="FFFF9999"/>
        <color theme="8" tint="-0.249977111117893"/>
      </colorScale>
    </cfRule>
  </conditionalFormatting>
  <conditionalFormatting sqref="D64">
    <cfRule type="cellIs" dxfId="109" priority="179" operator="equal">
      <formula>0</formula>
    </cfRule>
    <cfRule type="colorScale" priority="180">
      <colorScale>
        <cfvo type="num" val="0.5"/>
        <cfvo type="num" val="0.8"/>
        <cfvo type="num" val="1"/>
        <color rgb="FFFFD4D1"/>
        <color rgb="FFFF9999"/>
        <color theme="8" tint="-0.249977111117893"/>
      </colorScale>
    </cfRule>
  </conditionalFormatting>
  <conditionalFormatting sqref="D71">
    <cfRule type="cellIs" dxfId="108" priority="177" operator="equal">
      <formula>0</formula>
    </cfRule>
    <cfRule type="colorScale" priority="178">
      <colorScale>
        <cfvo type="num" val="0.5"/>
        <cfvo type="num" val="0.8"/>
        <cfvo type="num" val="1"/>
        <color rgb="FFFFD4D1"/>
        <color rgb="FFFF9999"/>
        <color theme="8" tint="-0.249977111117893"/>
      </colorScale>
    </cfRule>
  </conditionalFormatting>
  <conditionalFormatting sqref="D78">
    <cfRule type="cellIs" dxfId="107" priority="173" operator="equal">
      <formula>0</formula>
    </cfRule>
    <cfRule type="colorScale" priority="174">
      <colorScale>
        <cfvo type="num" val="0.5"/>
        <cfvo type="num" val="0.8"/>
        <cfvo type="num" val="1"/>
        <color rgb="FFFFD4D1"/>
        <color rgb="FFFF9999"/>
        <color theme="8" tint="-0.249977111117893"/>
      </colorScale>
    </cfRule>
  </conditionalFormatting>
  <conditionalFormatting sqref="D85">
    <cfRule type="cellIs" dxfId="106" priority="171" operator="equal">
      <formula>0</formula>
    </cfRule>
    <cfRule type="colorScale" priority="172">
      <colorScale>
        <cfvo type="num" val="0.5"/>
        <cfvo type="num" val="0.8"/>
        <cfvo type="num" val="1"/>
        <color rgb="FFFFD4D1"/>
        <color rgb="FFFF9999"/>
        <color theme="8" tint="-0.249977111117893"/>
      </colorScale>
    </cfRule>
  </conditionalFormatting>
  <conditionalFormatting sqref="D92">
    <cfRule type="cellIs" dxfId="105" priority="169" operator="equal">
      <formula>0</formula>
    </cfRule>
    <cfRule type="colorScale" priority="170">
      <colorScale>
        <cfvo type="num" val="0.5"/>
        <cfvo type="num" val="0.8"/>
        <cfvo type="num" val="1"/>
        <color rgb="FFFFD4D1"/>
        <color rgb="FFFF9999"/>
        <color theme="8" tint="-0.249977111117893"/>
      </colorScale>
    </cfRule>
  </conditionalFormatting>
  <conditionalFormatting sqref="D99">
    <cfRule type="cellIs" dxfId="104" priority="167" operator="equal">
      <formula>0</formula>
    </cfRule>
    <cfRule type="colorScale" priority="168">
      <colorScale>
        <cfvo type="num" val="0.5"/>
        <cfvo type="num" val="0.8"/>
        <cfvo type="num" val="1"/>
        <color rgb="FFFFD4D1"/>
        <color rgb="FFFF9999"/>
        <color theme="8" tint="-0.249977111117893"/>
      </colorScale>
    </cfRule>
  </conditionalFormatting>
  <conditionalFormatting sqref="D106">
    <cfRule type="cellIs" dxfId="103" priority="165" operator="equal">
      <formula>0</formula>
    </cfRule>
    <cfRule type="colorScale" priority="166">
      <colorScale>
        <cfvo type="num" val="0.5"/>
        <cfvo type="num" val="0.8"/>
        <cfvo type="num" val="1"/>
        <color rgb="FFFFD4D1"/>
        <color rgb="FFFF9999"/>
        <color theme="8" tint="-0.249977111117893"/>
      </colorScale>
    </cfRule>
  </conditionalFormatting>
  <conditionalFormatting sqref="D113">
    <cfRule type="cellIs" dxfId="102" priority="163" operator="equal">
      <formula>0</formula>
    </cfRule>
    <cfRule type="colorScale" priority="164">
      <colorScale>
        <cfvo type="num" val="0.5"/>
        <cfvo type="num" val="0.8"/>
        <cfvo type="num" val="1"/>
        <color rgb="FFFFD4D1"/>
        <color rgb="FFFF9999"/>
        <color theme="8" tint="-0.249977111117893"/>
      </colorScale>
    </cfRule>
  </conditionalFormatting>
  <conditionalFormatting sqref="D120">
    <cfRule type="cellIs" dxfId="101" priority="161" operator="equal">
      <formula>0</formula>
    </cfRule>
    <cfRule type="colorScale" priority="162">
      <colorScale>
        <cfvo type="num" val="0.5"/>
        <cfvo type="num" val="0.8"/>
        <cfvo type="num" val="1"/>
        <color rgb="FFFFD4D1"/>
        <color rgb="FFFF9999"/>
        <color theme="8" tint="-0.249977111117893"/>
      </colorScale>
    </cfRule>
  </conditionalFormatting>
  <conditionalFormatting sqref="D127">
    <cfRule type="cellIs" dxfId="100" priority="159" operator="equal">
      <formula>0</formula>
    </cfRule>
    <cfRule type="colorScale" priority="160">
      <colorScale>
        <cfvo type="num" val="0.5"/>
        <cfvo type="num" val="0.8"/>
        <cfvo type="num" val="1"/>
        <color rgb="FFFFD4D1"/>
        <color rgb="FFFF9999"/>
        <color theme="8" tint="-0.249977111117893"/>
      </colorScale>
    </cfRule>
  </conditionalFormatting>
  <conditionalFormatting sqref="D134">
    <cfRule type="cellIs" dxfId="99" priority="157" operator="equal">
      <formula>0</formula>
    </cfRule>
    <cfRule type="colorScale" priority="158">
      <colorScale>
        <cfvo type="num" val="0.5"/>
        <cfvo type="num" val="0.8"/>
        <cfvo type="num" val="1"/>
        <color rgb="FFFFD4D1"/>
        <color rgb="FFFF9999"/>
        <color theme="8" tint="-0.249977111117893"/>
      </colorScale>
    </cfRule>
  </conditionalFormatting>
  <conditionalFormatting sqref="D141">
    <cfRule type="cellIs" dxfId="98" priority="155" operator="equal">
      <formula>0</formula>
    </cfRule>
    <cfRule type="colorScale" priority="156">
      <colorScale>
        <cfvo type="num" val="0.5"/>
        <cfvo type="num" val="0.8"/>
        <cfvo type="num" val="1"/>
        <color rgb="FFFFD4D1"/>
        <color rgb="FFFF9999"/>
        <color theme="8" tint="-0.249977111117893"/>
      </colorScale>
    </cfRule>
  </conditionalFormatting>
  <conditionalFormatting sqref="B29">
    <cfRule type="cellIs" dxfId="97" priority="151" operator="equal">
      <formula>0</formula>
    </cfRule>
    <cfRule type="colorScale" priority="152">
      <colorScale>
        <cfvo type="num" val="0.1"/>
        <cfvo type="num" val="0.2"/>
        <cfvo type="num" val="1"/>
        <color rgb="FFFFFFC1"/>
        <color rgb="FFFFCCCC"/>
        <color theme="8" tint="-0.249977111117893"/>
      </colorScale>
    </cfRule>
  </conditionalFormatting>
  <conditionalFormatting sqref="D36">
    <cfRule type="cellIs" dxfId="96" priority="147" operator="equal">
      <formula>0</formula>
    </cfRule>
    <cfRule type="colorScale" priority="148">
      <colorScale>
        <cfvo type="num" val="0.5"/>
        <cfvo type="num" val="0.8"/>
        <cfvo type="num" val="1"/>
        <color rgb="FFFFD4D1"/>
        <color rgb="FFFF9999"/>
        <color theme="8" tint="-0.249977111117893"/>
      </colorScale>
    </cfRule>
  </conditionalFormatting>
  <conditionalFormatting sqref="K33:L33">
    <cfRule type="cellIs" dxfId="95" priority="139" operator="equal">
      <formula>"Off"</formula>
    </cfRule>
  </conditionalFormatting>
  <conditionalFormatting sqref="F33">
    <cfRule type="cellIs" dxfId="94" priority="142" operator="equal">
      <formula>"Off"</formula>
    </cfRule>
  </conditionalFormatting>
  <conditionalFormatting sqref="J33">
    <cfRule type="cellIs" dxfId="93" priority="141" operator="equal">
      <formula>"Off"</formula>
    </cfRule>
  </conditionalFormatting>
  <conditionalFormatting sqref="G33:I33">
    <cfRule type="cellIs" dxfId="92" priority="140" operator="equal">
      <formula>"Off"</formula>
    </cfRule>
  </conditionalFormatting>
  <conditionalFormatting sqref="F33:L33">
    <cfRule type="cellIs" dxfId="91" priority="92" operator="equal">
      <formula>"On"</formula>
    </cfRule>
    <cfRule type="cellIs" dxfId="90" priority="91" operator="equal">
      <formula>"Off"</formula>
    </cfRule>
  </conditionalFormatting>
  <conditionalFormatting sqref="K40:L40">
    <cfRule type="cellIs" dxfId="89" priority="87" operator="equal">
      <formula>"Off"</formula>
    </cfRule>
  </conditionalFormatting>
  <conditionalFormatting sqref="F40">
    <cfRule type="cellIs" dxfId="88" priority="90" operator="equal">
      <formula>"Off"</formula>
    </cfRule>
  </conditionalFormatting>
  <conditionalFormatting sqref="J40">
    <cfRule type="cellIs" dxfId="87" priority="89" operator="equal">
      <formula>"Off"</formula>
    </cfRule>
  </conditionalFormatting>
  <conditionalFormatting sqref="G40:I40">
    <cfRule type="cellIs" dxfId="86" priority="88" operator="equal">
      <formula>"Off"</formula>
    </cfRule>
  </conditionalFormatting>
  <conditionalFormatting sqref="F40:L40">
    <cfRule type="cellIs" dxfId="85" priority="85" operator="equal">
      <formula>"Off"</formula>
    </cfRule>
    <cfRule type="cellIs" dxfId="84" priority="86" operator="equal">
      <formula>"On"</formula>
    </cfRule>
  </conditionalFormatting>
  <conditionalFormatting sqref="K47:L47">
    <cfRule type="cellIs" dxfId="83" priority="81" operator="equal">
      <formula>"Off"</formula>
    </cfRule>
  </conditionalFormatting>
  <conditionalFormatting sqref="F47">
    <cfRule type="cellIs" dxfId="82" priority="84" operator="equal">
      <formula>"Off"</formula>
    </cfRule>
  </conditionalFormatting>
  <conditionalFormatting sqref="J47">
    <cfRule type="cellIs" dxfId="81" priority="83" operator="equal">
      <formula>"Off"</formula>
    </cfRule>
  </conditionalFormatting>
  <conditionalFormatting sqref="G47:I47">
    <cfRule type="cellIs" dxfId="80" priority="82" operator="equal">
      <formula>"Off"</formula>
    </cfRule>
  </conditionalFormatting>
  <conditionalFormatting sqref="F47:L47">
    <cfRule type="cellIs" dxfId="79" priority="79" operator="equal">
      <formula>"Off"</formula>
    </cfRule>
    <cfRule type="cellIs" dxfId="78" priority="80" operator="equal">
      <formula>"On"</formula>
    </cfRule>
  </conditionalFormatting>
  <conditionalFormatting sqref="K54:L54">
    <cfRule type="cellIs" dxfId="77" priority="75" operator="equal">
      <formula>"Off"</formula>
    </cfRule>
  </conditionalFormatting>
  <conditionalFormatting sqref="F54">
    <cfRule type="cellIs" dxfId="76" priority="78" operator="equal">
      <formula>"Off"</formula>
    </cfRule>
  </conditionalFormatting>
  <conditionalFormatting sqref="J54">
    <cfRule type="cellIs" dxfId="75" priority="77" operator="equal">
      <formula>"Off"</formula>
    </cfRule>
  </conditionalFormatting>
  <conditionalFormatting sqref="G54:I54">
    <cfRule type="cellIs" dxfId="74" priority="76" operator="equal">
      <formula>"Off"</formula>
    </cfRule>
  </conditionalFormatting>
  <conditionalFormatting sqref="F54:L54">
    <cfRule type="cellIs" dxfId="73" priority="73" operator="equal">
      <formula>"Off"</formula>
    </cfRule>
    <cfRule type="cellIs" dxfId="72" priority="74" operator="equal">
      <formula>"On"</formula>
    </cfRule>
  </conditionalFormatting>
  <conditionalFormatting sqref="K61:L61">
    <cfRule type="cellIs" dxfId="71" priority="69" operator="equal">
      <formula>"Off"</formula>
    </cfRule>
  </conditionalFormatting>
  <conditionalFormatting sqref="F61">
    <cfRule type="cellIs" dxfId="70" priority="72" operator="equal">
      <formula>"Off"</formula>
    </cfRule>
  </conditionalFormatting>
  <conditionalFormatting sqref="J61">
    <cfRule type="cellIs" dxfId="69" priority="71" operator="equal">
      <formula>"Off"</formula>
    </cfRule>
  </conditionalFormatting>
  <conditionalFormatting sqref="G61:I61">
    <cfRule type="cellIs" dxfId="68" priority="70" operator="equal">
      <formula>"Off"</formula>
    </cfRule>
  </conditionalFormatting>
  <conditionalFormatting sqref="F61:L61">
    <cfRule type="cellIs" dxfId="67" priority="67" operator="equal">
      <formula>"Off"</formula>
    </cfRule>
    <cfRule type="cellIs" dxfId="66" priority="68" operator="equal">
      <formula>"On"</formula>
    </cfRule>
  </conditionalFormatting>
  <conditionalFormatting sqref="K68:L68">
    <cfRule type="cellIs" dxfId="65" priority="63" operator="equal">
      <formula>"Off"</formula>
    </cfRule>
  </conditionalFormatting>
  <conditionalFormatting sqref="F68">
    <cfRule type="cellIs" dxfId="64" priority="66" operator="equal">
      <formula>"Off"</formula>
    </cfRule>
  </conditionalFormatting>
  <conditionalFormatting sqref="J68">
    <cfRule type="cellIs" dxfId="63" priority="65" operator="equal">
      <formula>"Off"</formula>
    </cfRule>
  </conditionalFormatting>
  <conditionalFormatting sqref="G68:I68">
    <cfRule type="cellIs" dxfId="62" priority="64" operator="equal">
      <formula>"Off"</formula>
    </cfRule>
  </conditionalFormatting>
  <conditionalFormatting sqref="F68:L68">
    <cfRule type="cellIs" dxfId="61" priority="61" operator="equal">
      <formula>"Off"</formula>
    </cfRule>
    <cfRule type="cellIs" dxfId="60" priority="62" operator="equal">
      <formula>"On"</formula>
    </cfRule>
  </conditionalFormatting>
  <conditionalFormatting sqref="K75:L75">
    <cfRule type="cellIs" dxfId="59" priority="57" operator="equal">
      <formula>"Off"</formula>
    </cfRule>
  </conditionalFormatting>
  <conditionalFormatting sqref="F75">
    <cfRule type="cellIs" dxfId="58" priority="60" operator="equal">
      <formula>"Off"</formula>
    </cfRule>
  </conditionalFormatting>
  <conditionalFormatting sqref="J75">
    <cfRule type="cellIs" dxfId="57" priority="59" operator="equal">
      <formula>"Off"</formula>
    </cfRule>
  </conditionalFormatting>
  <conditionalFormatting sqref="G75:I75">
    <cfRule type="cellIs" dxfId="56" priority="58" operator="equal">
      <formula>"Off"</formula>
    </cfRule>
  </conditionalFormatting>
  <conditionalFormatting sqref="F75:L75">
    <cfRule type="cellIs" dxfId="55" priority="55" operator="equal">
      <formula>"Off"</formula>
    </cfRule>
    <cfRule type="cellIs" dxfId="54" priority="56" operator="equal">
      <formula>"On"</formula>
    </cfRule>
  </conditionalFormatting>
  <conditionalFormatting sqref="K82:L82">
    <cfRule type="cellIs" dxfId="53" priority="51" operator="equal">
      <formula>"Off"</formula>
    </cfRule>
  </conditionalFormatting>
  <conditionalFormatting sqref="F82">
    <cfRule type="cellIs" dxfId="52" priority="54" operator="equal">
      <formula>"Off"</formula>
    </cfRule>
  </conditionalFormatting>
  <conditionalFormatting sqref="J82">
    <cfRule type="cellIs" dxfId="51" priority="53" operator="equal">
      <formula>"Off"</formula>
    </cfRule>
  </conditionalFormatting>
  <conditionalFormatting sqref="G82:I82">
    <cfRule type="cellIs" dxfId="50" priority="52" operator="equal">
      <formula>"Off"</formula>
    </cfRule>
  </conditionalFormatting>
  <conditionalFormatting sqref="F82:L82">
    <cfRule type="cellIs" dxfId="49" priority="49" operator="equal">
      <formula>"Off"</formula>
    </cfRule>
    <cfRule type="cellIs" dxfId="48" priority="50" operator="equal">
      <formula>"On"</formula>
    </cfRule>
  </conditionalFormatting>
  <conditionalFormatting sqref="K89:L89">
    <cfRule type="cellIs" dxfId="47" priority="45" operator="equal">
      <formula>"Off"</formula>
    </cfRule>
  </conditionalFormatting>
  <conditionalFormatting sqref="F89">
    <cfRule type="cellIs" dxfId="46" priority="48" operator="equal">
      <formula>"Off"</formula>
    </cfRule>
  </conditionalFormatting>
  <conditionalFormatting sqref="J89">
    <cfRule type="cellIs" dxfId="45" priority="47" operator="equal">
      <formula>"Off"</formula>
    </cfRule>
  </conditionalFormatting>
  <conditionalFormatting sqref="G89:I89">
    <cfRule type="cellIs" dxfId="44" priority="46" operator="equal">
      <formula>"Off"</formula>
    </cfRule>
  </conditionalFormatting>
  <conditionalFormatting sqref="F89:L89">
    <cfRule type="cellIs" dxfId="43" priority="43" operator="equal">
      <formula>"Off"</formula>
    </cfRule>
    <cfRule type="cellIs" dxfId="42" priority="44" operator="equal">
      <formula>"On"</formula>
    </cfRule>
  </conditionalFormatting>
  <conditionalFormatting sqref="K96:L96">
    <cfRule type="cellIs" dxfId="41" priority="39" operator="equal">
      <formula>"Off"</formula>
    </cfRule>
  </conditionalFormatting>
  <conditionalFormatting sqref="F96">
    <cfRule type="cellIs" dxfId="40" priority="42" operator="equal">
      <formula>"Off"</formula>
    </cfRule>
  </conditionalFormatting>
  <conditionalFormatting sqref="J96">
    <cfRule type="cellIs" dxfId="39" priority="41" operator="equal">
      <formula>"Off"</formula>
    </cfRule>
  </conditionalFormatting>
  <conditionalFormatting sqref="G96:I96">
    <cfRule type="cellIs" dxfId="38" priority="40" operator="equal">
      <formula>"Off"</formula>
    </cfRule>
  </conditionalFormatting>
  <conditionalFormatting sqref="F96:L96">
    <cfRule type="cellIs" dxfId="37" priority="37" operator="equal">
      <formula>"Off"</formula>
    </cfRule>
    <cfRule type="cellIs" dxfId="36" priority="38" operator="equal">
      <formula>"On"</formula>
    </cfRule>
  </conditionalFormatting>
  <conditionalFormatting sqref="K103:L103">
    <cfRule type="cellIs" dxfId="35" priority="33" operator="equal">
      <formula>"Off"</formula>
    </cfRule>
  </conditionalFormatting>
  <conditionalFormatting sqref="F103">
    <cfRule type="cellIs" dxfId="34" priority="36" operator="equal">
      <formula>"Off"</formula>
    </cfRule>
  </conditionalFormatting>
  <conditionalFormatting sqref="J103">
    <cfRule type="cellIs" dxfId="33" priority="35" operator="equal">
      <formula>"Off"</formula>
    </cfRule>
  </conditionalFormatting>
  <conditionalFormatting sqref="G103:I103">
    <cfRule type="cellIs" dxfId="32" priority="34" operator="equal">
      <formula>"Off"</formula>
    </cfRule>
  </conditionalFormatting>
  <conditionalFormatting sqref="F103:L103">
    <cfRule type="cellIs" dxfId="31" priority="31" operator="equal">
      <formula>"Off"</formula>
    </cfRule>
    <cfRule type="cellIs" dxfId="30" priority="32" operator="equal">
      <formula>"On"</formula>
    </cfRule>
  </conditionalFormatting>
  <conditionalFormatting sqref="K110:L110">
    <cfRule type="cellIs" dxfId="29" priority="27" operator="equal">
      <formula>"Off"</formula>
    </cfRule>
  </conditionalFormatting>
  <conditionalFormatting sqref="F110">
    <cfRule type="cellIs" dxfId="28" priority="30" operator="equal">
      <formula>"Off"</formula>
    </cfRule>
  </conditionalFormatting>
  <conditionalFormatting sqref="J110">
    <cfRule type="cellIs" dxfId="27" priority="29" operator="equal">
      <formula>"Off"</formula>
    </cfRule>
  </conditionalFormatting>
  <conditionalFormatting sqref="G110:I110">
    <cfRule type="cellIs" dxfId="26" priority="28" operator="equal">
      <formula>"Off"</formula>
    </cfRule>
  </conditionalFormatting>
  <conditionalFormatting sqref="F110:L110">
    <cfRule type="cellIs" dxfId="25" priority="25" operator="equal">
      <formula>"Off"</formula>
    </cfRule>
    <cfRule type="cellIs" dxfId="24" priority="26" operator="equal">
      <formula>"On"</formula>
    </cfRule>
  </conditionalFormatting>
  <conditionalFormatting sqref="K117:L117">
    <cfRule type="cellIs" dxfId="23" priority="21" operator="equal">
      <formula>"Off"</formula>
    </cfRule>
  </conditionalFormatting>
  <conditionalFormatting sqref="F117">
    <cfRule type="cellIs" dxfId="22" priority="24" operator="equal">
      <formula>"Off"</formula>
    </cfRule>
  </conditionalFormatting>
  <conditionalFormatting sqref="J117">
    <cfRule type="cellIs" dxfId="21" priority="23" operator="equal">
      <formula>"Off"</formula>
    </cfRule>
  </conditionalFormatting>
  <conditionalFormatting sqref="G117:I117">
    <cfRule type="cellIs" dxfId="20" priority="22" operator="equal">
      <formula>"Off"</formula>
    </cfRule>
  </conditionalFormatting>
  <conditionalFormatting sqref="F117:L117">
    <cfRule type="cellIs" dxfId="19" priority="19" operator="equal">
      <formula>"Off"</formula>
    </cfRule>
    <cfRule type="cellIs" dxfId="18" priority="20" operator="equal">
      <formula>"On"</formula>
    </cfRule>
  </conditionalFormatting>
  <conditionalFormatting sqref="K124:L124">
    <cfRule type="cellIs" dxfId="17" priority="15" operator="equal">
      <formula>"Off"</formula>
    </cfRule>
  </conditionalFormatting>
  <conditionalFormatting sqref="F124">
    <cfRule type="cellIs" dxfId="16" priority="18" operator="equal">
      <formula>"Off"</formula>
    </cfRule>
  </conditionalFormatting>
  <conditionalFormatting sqref="J124">
    <cfRule type="cellIs" dxfId="15" priority="17" operator="equal">
      <formula>"Off"</formula>
    </cfRule>
  </conditionalFormatting>
  <conditionalFormatting sqref="G124:I124">
    <cfRule type="cellIs" dxfId="14" priority="16" operator="equal">
      <formula>"Off"</formula>
    </cfRule>
  </conditionalFormatting>
  <conditionalFormatting sqref="F124:L124">
    <cfRule type="cellIs" dxfId="13" priority="13" operator="equal">
      <formula>"Off"</formula>
    </cfRule>
    <cfRule type="cellIs" dxfId="12" priority="14" operator="equal">
      <formula>"On"</formula>
    </cfRule>
  </conditionalFormatting>
  <conditionalFormatting sqref="K131:L131">
    <cfRule type="cellIs" dxfId="11" priority="9" operator="equal">
      <formula>"Off"</formula>
    </cfRule>
  </conditionalFormatting>
  <conditionalFormatting sqref="F131">
    <cfRule type="cellIs" dxfId="10" priority="12" operator="equal">
      <formula>"Off"</formula>
    </cfRule>
  </conditionalFormatting>
  <conditionalFormatting sqref="J131">
    <cfRule type="cellIs" dxfId="9" priority="11" operator="equal">
      <formula>"Off"</formula>
    </cfRule>
  </conditionalFormatting>
  <conditionalFormatting sqref="G131:I131">
    <cfRule type="cellIs" dxfId="8" priority="10" operator="equal">
      <formula>"Off"</formula>
    </cfRule>
  </conditionalFormatting>
  <conditionalFormatting sqref="F131:L131">
    <cfRule type="cellIs" dxfId="7" priority="7" operator="equal">
      <formula>"Off"</formula>
    </cfRule>
    <cfRule type="cellIs" dxfId="6" priority="8" operator="equal">
      <formula>"On"</formula>
    </cfRule>
  </conditionalFormatting>
  <conditionalFormatting sqref="K138:L138">
    <cfRule type="cellIs" dxfId="5" priority="3" operator="equal">
      <formula>"Off"</formula>
    </cfRule>
  </conditionalFormatting>
  <conditionalFormatting sqref="F138">
    <cfRule type="cellIs" dxfId="4" priority="6" operator="equal">
      <formula>"Off"</formula>
    </cfRule>
  </conditionalFormatting>
  <conditionalFormatting sqref="J138">
    <cfRule type="cellIs" dxfId="3" priority="5" operator="equal">
      <formula>"Off"</formula>
    </cfRule>
  </conditionalFormatting>
  <conditionalFormatting sqref="G138:I138">
    <cfRule type="cellIs" dxfId="2" priority="4" operator="equal">
      <formula>"Off"</formula>
    </cfRule>
  </conditionalFormatting>
  <conditionalFormatting sqref="F138:L138">
    <cfRule type="cellIs" dxfId="1" priority="1" operator="equal">
      <formula>"Off"</formula>
    </cfRule>
    <cfRule type="cellIs" dxfId="0" priority="2" operator="equal">
      <formula>"On"</formula>
    </cfRule>
  </conditionalFormatting>
  <dataValidations count="5">
    <dataValidation type="list" allowBlank="1" showInputMessage="1" showErrorMessage="1" prompt="Select One..." sqref="F118:L118 F76:L76 F83:L83 F69:L69 F41:L41 F125:L125 F34:L34 F48:L48 F104:L104 F55:L55 F111:L111 F62:L62 F90:L90 F97:L97 F132:L132 F139:L139" xr:uid="{BB1B0392-02C5-48DC-A533-2ED4A1D268E8}">
      <formula1>List_Eva</formula1>
    </dataValidation>
    <dataValidation type="list" allowBlank="1" showInputMessage="1" showErrorMessage="1" sqref="D9:D25" xr:uid="{97FE20C0-DDEB-41F1-B98D-01594B05C10D}">
      <formula1>Timer</formula1>
    </dataValidation>
    <dataValidation type="list" allowBlank="1" showInputMessage="1" showErrorMessage="1" sqref="B83 B125 B90 B118 B34 B41 B48 B111 B55 B62 B69 B76 B97 B104 B132 B139 F9:L25" xr:uid="{0882EDAE-73CA-4C12-BD21-DCE318CAE5A3}">
      <formula1>List_Guard</formula1>
    </dataValidation>
    <dataValidation type="list" allowBlank="1" showInputMessage="1" showErrorMessage="1" prompt="Select One..." sqref="F112:L112 F35:L35 F119:L119 F140:L140 F126:L126 F42:L42 F49:L49 F63:L63 F70:L70 F77:L77 F84:L84 F91:L91 F98:L98 F105:L105 F133:L133 F56:L56" xr:uid="{4899E490-CDA6-48D1-BC71-22148E21453B}">
      <formula1>List_Hrs</formula1>
    </dataValidation>
    <dataValidation type="list" allowBlank="1" showInputMessage="1" showErrorMessage="1" sqref="F121:L121 F135:L135 F37:L37 F44:L44 F51:L51 F58:L58 F65:L65 F72:L72 F79:L79 F86:L86 F93:L93 F100:L100 F107:L107 F114:L114 F128:L128 F142:L142" xr:uid="{D0D07882-F535-40F4-A535-4C0C9C8BAD95}">
      <formula1>Details</formula1>
    </dataValidation>
  </dataValidations>
  <hyperlinks>
    <hyperlink ref="H144" r:id="rId1" xr:uid="{E1CC4B86-DD02-43E6-B5CA-53D4D1565EB1}"/>
  </hyperlinks>
  <pageMargins left="0.7" right="0.7" top="0.94" bottom="0.7" header="0.3" footer="0.3"/>
  <pageSetup scale="70" fitToHeight="0" orientation="landscape" horizontalDpi="4294967292" r:id="rId2"/>
  <rowBreaks count="4" manualBreakCount="4">
    <brk id="28" max="12" man="1"/>
    <brk id="58" max="16383" man="1"/>
    <brk id="86" max="16383" man="1"/>
    <brk id="114" max="16383" man="1"/>
  </rowBreaks>
  <drawing r:id="rId3"/>
</worksheet>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4" baseType="variant">
      <vt:variant>
        <vt:lpstr>Hojas de cálculo</vt:lpstr>
      </vt:variant>
      <vt:variant>
        <vt:i4>11</vt:i4>
      </vt:variant>
      <vt:variant>
        <vt:lpstr>Rangos con nombre</vt:lpstr>
      </vt:variant>
      <vt:variant>
        <vt:i4>69</vt:i4>
      </vt:variant>
    </vt:vector>
  </HeadingPairs>
  <TitlesOfParts>
    <vt:vector size="80" baseType="lpstr">
      <vt:lpstr>Employeed</vt:lpstr>
      <vt:lpstr>Schedule</vt:lpstr>
      <vt:lpstr>Time_Sheet</vt:lpstr>
      <vt:lpstr>Master</vt:lpstr>
      <vt:lpstr>Sch_May-20</vt:lpstr>
      <vt:lpstr>Sch_May-27</vt:lpstr>
      <vt:lpstr>Sch_Jun 3-9,2018</vt:lpstr>
      <vt:lpstr>Sch_Jun 10-16,2018</vt:lpstr>
      <vt:lpstr>Sch_Jun 17- 23, 2018</vt:lpstr>
      <vt:lpstr>Sch_Jun 24- 30, 2018 </vt:lpstr>
      <vt:lpstr>Sch_July 1-7, 2018</vt:lpstr>
      <vt:lpstr>Employeed!Área_de_impresión</vt:lpstr>
      <vt:lpstr>Master!Área_de_impresión</vt:lpstr>
      <vt:lpstr>Sch_July 1-7, 2018!Área_de_impresión</vt:lpstr>
      <vt:lpstr>Sch_Jun 24- 30, 2018 !Área_de_impresión</vt:lpstr>
      <vt:lpstr>Schedule!Área_de_impresión</vt:lpstr>
      <vt:lpstr>Master!Details</vt:lpstr>
      <vt:lpstr>Sch_July 1-7, 2018!Details</vt:lpstr>
      <vt:lpstr>Details</vt:lpstr>
      <vt:lpstr>Sch_Jun 3-9,2018!Edit_Datos</vt:lpstr>
      <vt:lpstr>Sch_May-20!Edit_Datos</vt:lpstr>
      <vt:lpstr>Sch_May-27!Edit_Datos</vt:lpstr>
      <vt:lpstr>Employeed</vt:lpstr>
      <vt:lpstr>Master!Fri</vt:lpstr>
      <vt:lpstr>Sch_July 1-7, 2018!Fri</vt:lpstr>
      <vt:lpstr>Fri</vt:lpstr>
      <vt:lpstr>Master!Hr</vt:lpstr>
      <vt:lpstr>Sch_July 1-7, 2018!Hr</vt:lpstr>
      <vt:lpstr>Master!Hrs_Emp</vt:lpstr>
      <vt:lpstr>Sch_July 1-7, 2018!Hrs_Emp</vt:lpstr>
      <vt:lpstr>Master!Hrs_Weed</vt:lpstr>
      <vt:lpstr>Sch_July 1-7, 2018!Hrs_Weed</vt:lpstr>
      <vt:lpstr>Master!List_Eva</vt:lpstr>
      <vt:lpstr>Sch_July 1-7, 2018!List_Eva</vt:lpstr>
      <vt:lpstr>List_Eva</vt:lpstr>
      <vt:lpstr>List_Guard</vt:lpstr>
      <vt:lpstr>List_Hrs</vt:lpstr>
      <vt:lpstr>Master!Mon</vt:lpstr>
      <vt:lpstr>Sch_July 1-7, 2018!Mon</vt:lpstr>
      <vt:lpstr>Mon</vt:lpstr>
      <vt:lpstr>Master!Mt_Horas</vt:lpstr>
      <vt:lpstr>Sch_July 1-7, 2018!Mt_Horas</vt:lpstr>
      <vt:lpstr>Mt_Horas</vt:lpstr>
      <vt:lpstr>Master!Sat</vt:lpstr>
      <vt:lpstr>Sch_July 1-7, 2018!Sat</vt:lpstr>
      <vt:lpstr>Sat</vt:lpstr>
      <vt:lpstr>Master!Stores</vt:lpstr>
      <vt:lpstr>Sch_July 1-7, 2018!Stores</vt:lpstr>
      <vt:lpstr>Stores</vt:lpstr>
      <vt:lpstr>Master!Sun</vt:lpstr>
      <vt:lpstr>Sch_July 1-7, 2018!Sun</vt:lpstr>
      <vt:lpstr>Sun</vt:lpstr>
      <vt:lpstr>Master!Thr</vt:lpstr>
      <vt:lpstr>Sch_July 1-7, 2018!Thr</vt:lpstr>
      <vt:lpstr>Thr</vt:lpstr>
      <vt:lpstr>Master!Time_Eva</vt:lpstr>
      <vt:lpstr>Sch_July 1-7, 2018!Time_Eva</vt:lpstr>
      <vt:lpstr>Time_Eva</vt:lpstr>
      <vt:lpstr>Master!Timer</vt:lpstr>
      <vt:lpstr>Sch_July 1-7, 2018!Timer</vt:lpstr>
      <vt:lpstr>Sch_Jun 10-16,2018!Timer</vt:lpstr>
      <vt:lpstr>Sch_Jun 17- 23, 2018!Timer</vt:lpstr>
      <vt:lpstr>Sch_Jun 24- 30, 2018 !Timer</vt:lpstr>
      <vt:lpstr>Sch_Jun 3-9,2018!Timer</vt:lpstr>
      <vt:lpstr>Sch_May-20!Timer</vt:lpstr>
      <vt:lpstr>Sch_May-27!Timer</vt:lpstr>
      <vt:lpstr>Timer</vt:lpstr>
      <vt:lpstr>Master!Títulos_a_imprimir</vt:lpstr>
      <vt:lpstr>Sch_July 1-7, 2018!Títulos_a_imprimir</vt:lpstr>
      <vt:lpstr>Time_Sheet!Títulos_a_imprimir</vt:lpstr>
      <vt:lpstr>Total_Hrs</vt:lpstr>
      <vt:lpstr>Master!Tour</vt:lpstr>
      <vt:lpstr>Sch_July 1-7, 2018!Tour</vt:lpstr>
      <vt:lpstr>Master!Tue</vt:lpstr>
      <vt:lpstr>Sch_July 1-7, 2018!Tue</vt:lpstr>
      <vt:lpstr>Tue</vt:lpstr>
      <vt:lpstr>Employeed!Virgen</vt:lpstr>
      <vt:lpstr>Master!Wed</vt:lpstr>
      <vt:lpstr>Sch_July 1-7, 2018!Wed</vt:lpstr>
      <vt:lpstr>Wed</vt:lpstr>
    </vt:vector>
  </TitlesOfParts>
  <Company>Mayoral(c)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Mayoral</dc:creator>
  <cp:lastModifiedBy>Mayoral</cp:lastModifiedBy>
  <cp:lastPrinted>2018-07-02T06:47:59Z</cp:lastPrinted>
  <dcterms:created xsi:type="dcterms:W3CDTF">2018-04-29T23:08:59Z</dcterms:created>
  <dcterms:modified xsi:type="dcterms:W3CDTF">2018-07-02T18:04:36Z</dcterms:modified>
</cp:coreProperties>
</file>

<file path=userCustomization/customUI.xml><?xml version="1.0" encoding="utf-8"?>
<mso:customUI xmlns:mso="http://schemas.microsoft.com/office/2006/01/customui">
  <mso:ribbon>
    <mso:qat>
      <mso:documentControls>
        <mso:control idQ="mso:XmlDataRefresh" visible="true"/>
        <mso:control idQ="mso:GroupCode" visible="true"/>
        <mso:control idQ="mso:GroupControls" visible="true"/>
        <mso:control idQ="mso:RunDialog" visible="true"/>
        <mso:control idQ="mso:XmlExport" visible="true"/>
        <mso:control idQ="mso:MacroRecord" visible="true"/>
        <mso:control idQ="mso:XmlImport" visible="true"/>
        <mso:control idQ="mso:ControlsGallery" visible="true"/>
        <mso:control idQ="mso:GroupModify" visible="true"/>
        <mso:control idQ="mso:DesignMode" visible="true"/>
        <mso:control idQ="mso:XmlSource" visible="true"/>
        <mso:control idQ="mso:DocumentPanelTemplate" visible="true"/>
        <mso:control idQ="mso:XmlExpansionPacksExcel" visible="true"/>
        <mso:control idQ="mso:XmlMapProperties" visible="true"/>
        <mso:control idQ="mso:ControlProperties" visible="true"/>
        <mso:control idQ="mso:MacroSecurity" visible="true"/>
        <mso:control idQ="mso:MacroRelativeReferences" visible="true"/>
        <mso:control idQ="mso:ViewCode" visible="true"/>
        <mso:control idQ="mso:MacroPlay" visible="true"/>
        <mso:control idQ="mso:VisualBasic" visible="true"/>
        <mso:control idQ="mso:GroupXml" visible="true"/>
      </mso:documentControls>
    </mso:qat>
  </mso:ribbon>
</mso:customUI>
</file>